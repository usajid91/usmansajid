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Usman Documents\Portfolio\Excel\"/>
    </mc:Choice>
  </mc:AlternateContent>
  <xr:revisionPtr revIDLastSave="0" documentId="13_ncr:1_{28CBB5B6-F6CC-4F7F-BE46-EF711B5AD68C}" xr6:coauthVersionLast="47" xr6:coauthVersionMax="47" xr10:uidLastSave="{00000000-0000-0000-0000-000000000000}"/>
  <workbookProtection workbookAlgorithmName="SHA-512" workbookHashValue="Y59aFWQNhqY8jVfcw/zEwDuXK9y1asFaOyU2vc035y+v5lXGidMKggKxCm0IbOaDipYa3LRYxW6RLrGwVvV6DA==" workbookSaltValue="CGwHEr4YLSLh06q9x7rdEA==" workbookSpinCount="100000" lockStructure="1"/>
  <bookViews>
    <workbookView xWindow="-120" yWindow="-120" windowWidth="29040" windowHeight="15840" xr2:uid="{00000000-000D-0000-FFFF-FFFF00000000}"/>
  </bookViews>
  <sheets>
    <sheet name="Dashboard" sheetId="4" r:id="rId1"/>
    <sheet name="SalesData" sheetId="1" state="hidden" r:id="rId2"/>
    <sheet name="Pivot Analysis" sheetId="3" state="hidden" r:id="rId3"/>
    <sheet name="Notes" sheetId="2" state="hidden" r:id="rId4"/>
  </sheets>
  <definedNames>
    <definedName name="CIQWBGuid" hidden="1">"1a0afd90-b8e8-40a5-b040-484a06bee3e4"</definedName>
    <definedName name="CIQWBInfo" hidden="1">"{ ""CIQVersion"":""9.52.4409.4666""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licer_Product_Category">#N/A</definedName>
    <definedName name="Slicer_Region">#N/A</definedName>
    <definedName name="Slicer_Sales_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J3" i="1" s="1"/>
  <c r="H4" i="1"/>
  <c r="J4" i="1" s="1"/>
  <c r="H5" i="1"/>
  <c r="J5" i="1" s="1"/>
  <c r="H6" i="1"/>
  <c r="J6" i="1" s="1"/>
  <c r="H7" i="1"/>
  <c r="J7" i="1" s="1"/>
  <c r="H8" i="1"/>
  <c r="J8" i="1" s="1"/>
  <c r="H9" i="1"/>
  <c r="J9" i="1" s="1"/>
  <c r="H10" i="1"/>
  <c r="J10" i="1" s="1"/>
  <c r="H11" i="1"/>
  <c r="J11" i="1" s="1"/>
  <c r="H12" i="1"/>
  <c r="J12" i="1" s="1"/>
  <c r="H13" i="1"/>
  <c r="J13" i="1" s="1"/>
  <c r="H14" i="1"/>
  <c r="J14" i="1" s="1"/>
  <c r="H15" i="1"/>
  <c r="J15" i="1" s="1"/>
  <c r="H16" i="1"/>
  <c r="J16" i="1" s="1"/>
  <c r="H17" i="1"/>
  <c r="J17" i="1" s="1"/>
  <c r="H18" i="1"/>
  <c r="J18" i="1" s="1"/>
  <c r="H19" i="1"/>
  <c r="J19" i="1" s="1"/>
  <c r="H20" i="1"/>
  <c r="J20" i="1" s="1"/>
  <c r="H21" i="1"/>
  <c r="J21" i="1" s="1"/>
  <c r="H2" i="1"/>
  <c r="J2" i="1" s="1"/>
  <c r="S2" i="3" l="1"/>
  <c r="S3" i="3" s="1"/>
  <c r="R3" i="4"/>
  <c r="D3" i="4"/>
  <c r="K3" i="4"/>
</calcChain>
</file>

<file path=xl/sharedStrings.xml><?xml version="1.0" encoding="utf-8"?>
<sst xmlns="http://schemas.openxmlformats.org/spreadsheetml/2006/main" count="184" uniqueCount="114">
  <si>
    <r>
      <t xml:space="preserve">Open Excel and create a new worksheet named </t>
    </r>
    <r>
      <rPr>
        <b/>
        <sz val="11"/>
        <color theme="1"/>
        <rFont val="Calibri"/>
        <family val="2"/>
        <scheme val="minor"/>
      </rPr>
      <t>"Sales Data"</t>
    </r>
    <r>
      <rPr>
        <sz val="11"/>
        <color theme="1"/>
        <rFont val="Calibri"/>
        <family val="2"/>
        <scheme val="minor"/>
      </rPr>
      <t>.</t>
    </r>
  </si>
  <si>
    <t>Define the following columns for your database:</t>
  </si>
  <si>
    <r>
      <t>Date</t>
    </r>
    <r>
      <rPr>
        <sz val="11"/>
        <color theme="1"/>
        <rFont val="Calibri"/>
        <family val="2"/>
        <scheme val="minor"/>
      </rPr>
      <t>: The transaction date (use realistic dates for one year).</t>
    </r>
  </si>
  <si>
    <r>
      <t>Region</t>
    </r>
    <r>
      <rPr>
        <sz val="11"/>
        <color theme="1"/>
        <rFont val="Calibri"/>
        <family val="2"/>
        <scheme val="minor"/>
      </rPr>
      <t>: The sales region (e.g., North, South, East, West).</t>
    </r>
  </si>
  <si>
    <r>
      <t>Product Category</t>
    </r>
    <r>
      <rPr>
        <sz val="11"/>
        <color theme="1"/>
        <rFont val="Calibri"/>
        <family val="2"/>
        <scheme val="minor"/>
      </rPr>
      <t>: Categories such as Electronics, Furniture, Apparel, etc.</t>
    </r>
  </si>
  <si>
    <r>
      <t>Product Name</t>
    </r>
    <r>
      <rPr>
        <sz val="11"/>
        <color theme="1"/>
        <rFont val="Calibri"/>
        <family val="2"/>
        <scheme val="minor"/>
      </rPr>
      <t>: Specific product names (e.g., Laptop, Chair, T-Shirt).</t>
    </r>
  </si>
  <si>
    <r>
      <t>Sales Rep</t>
    </r>
    <r>
      <rPr>
        <sz val="11"/>
        <color theme="1"/>
        <rFont val="Calibri"/>
        <family val="2"/>
        <scheme val="minor"/>
      </rPr>
      <t>: Name of the sales representative.</t>
    </r>
  </si>
  <si>
    <r>
      <t>Units Sold</t>
    </r>
    <r>
      <rPr>
        <sz val="11"/>
        <color theme="1"/>
        <rFont val="Calibri"/>
        <family val="2"/>
        <scheme val="minor"/>
      </rPr>
      <t>: Number of units sold in the transaction.</t>
    </r>
  </si>
  <si>
    <r>
      <t>Unit Price</t>
    </r>
    <r>
      <rPr>
        <sz val="11"/>
        <color theme="1"/>
        <rFont val="Calibri"/>
        <family val="2"/>
        <scheme val="minor"/>
      </rPr>
      <t>: Price per unit of the product.</t>
    </r>
  </si>
  <si>
    <r>
      <t>Total Sales</t>
    </r>
    <r>
      <rPr>
        <sz val="11"/>
        <color theme="1"/>
        <rFont val="Calibri"/>
        <family val="2"/>
        <scheme val="minor"/>
      </rPr>
      <t>: (Units Sold * Unit Price, calculated with a formula).</t>
    </r>
  </si>
  <si>
    <r>
      <t>Target Sales</t>
    </r>
    <r>
      <rPr>
        <sz val="11"/>
        <color theme="1"/>
        <rFont val="Calibri"/>
        <family val="2"/>
        <scheme val="minor"/>
      </rPr>
      <t>: Set a sales target for comparison.</t>
    </r>
  </si>
  <si>
    <r>
      <t xml:space="preserve">Populate 50–100 rows of sample data. You can use </t>
    </r>
    <r>
      <rPr>
        <b/>
        <sz val="11"/>
        <color theme="1"/>
        <rFont val="Calibri"/>
        <family val="2"/>
        <scheme val="minor"/>
      </rPr>
      <t>Excel's RAND or RANDBETWEEN</t>
    </r>
    <r>
      <rPr>
        <sz val="11"/>
        <color theme="1"/>
        <rFont val="Calibri"/>
        <family val="2"/>
        <scheme val="minor"/>
      </rPr>
      <t xml:space="preserve"> function for random numbers and categories.</t>
    </r>
  </si>
  <si>
    <t>Date</t>
  </si>
  <si>
    <t>Region</t>
  </si>
  <si>
    <t>Product Category</t>
  </si>
  <si>
    <t>Product Name</t>
  </si>
  <si>
    <t>Sales Rep</t>
  </si>
  <si>
    <t>Units Sold</t>
  </si>
  <si>
    <t>Unit Price</t>
  </si>
  <si>
    <t>Target Sales</t>
  </si>
  <si>
    <t>North</t>
  </si>
  <si>
    <t>Electronics</t>
  </si>
  <si>
    <t>Laptop</t>
  </si>
  <si>
    <t>John Smith</t>
  </si>
  <si>
    <t>South</t>
  </si>
  <si>
    <t>Furniture</t>
  </si>
  <si>
    <t>Office Chair</t>
  </si>
  <si>
    <t>Sarah Johnson</t>
  </si>
  <si>
    <t>East</t>
  </si>
  <si>
    <t>Apparel</t>
  </si>
  <si>
    <t>T-Shirt</t>
  </si>
  <si>
    <t>Mark Lee</t>
  </si>
  <si>
    <t>West</t>
  </si>
  <si>
    <t>Smartphone</t>
  </si>
  <si>
    <t>Emily Brown</t>
  </si>
  <si>
    <t>Desk</t>
  </si>
  <si>
    <t>James Wilson</t>
  </si>
  <si>
    <t>Jacket</t>
  </si>
  <si>
    <t>Linda Taylor</t>
  </si>
  <si>
    <t>Tablet</t>
  </si>
  <si>
    <t>Bookshelf</t>
  </si>
  <si>
    <t>Hoodie</t>
  </si>
  <si>
    <t>Headphones</t>
  </si>
  <si>
    <t>Sofa</t>
  </si>
  <si>
    <t>Sneakers</t>
  </si>
  <si>
    <t>Camera</t>
  </si>
  <si>
    <t>Dining Table</t>
  </si>
  <si>
    <t>Jeans</t>
  </si>
  <si>
    <t>Smartwatch</t>
  </si>
  <si>
    <t>Bed Frame</t>
  </si>
  <si>
    <t>Cap</t>
  </si>
  <si>
    <t>Earbuds</t>
  </si>
  <si>
    <t>Coffee Table</t>
  </si>
  <si>
    <t>Total Sales</t>
  </si>
  <si>
    <t>Variance</t>
  </si>
  <si>
    <t>Step 2: Add Calculated Columns</t>
  </si>
  <si>
    <r>
      <t>1. Total Sales Calculation</t>
    </r>
    <r>
      <rPr>
        <sz val="11"/>
        <color theme="1"/>
        <rFont val="Calibri"/>
        <family val="2"/>
        <scheme val="minor"/>
      </rPr>
      <t>: In a new column, enter the formula:</t>
    </r>
  </si>
  <si>
    <t>This calculates the total sales for each row.</t>
  </si>
  <si>
    <r>
      <t>2. Variance Calculation</t>
    </r>
    <r>
      <rPr>
        <sz val="11"/>
        <color theme="1"/>
        <rFont val="Calibri"/>
        <family val="2"/>
        <scheme val="minor"/>
      </rPr>
      <t>: Add a column for variance:</t>
    </r>
  </si>
  <si>
    <t>This calculates the difference between Actual Sales (Total Sales) and Target Sales.</t>
  </si>
  <si>
    <t>Step 3: Organize Data Using Excel Tables</t>
  </si>
  <si>
    <r>
      <t xml:space="preserve">1. Select the data range, including headers, and press </t>
    </r>
    <r>
      <rPr>
        <b/>
        <sz val="11"/>
        <color theme="1"/>
        <rFont val="Calibri"/>
        <family val="2"/>
        <scheme val="minor"/>
      </rPr>
      <t>Ctrl + T</t>
    </r>
    <r>
      <rPr>
        <sz val="11"/>
        <color theme="1"/>
        <rFont val="Calibri"/>
        <family val="2"/>
        <scheme val="minor"/>
      </rPr>
      <t xml:space="preserve"> to create a table.</t>
    </r>
  </si>
  <si>
    <r>
      <t xml:space="preserve">2. Name the table </t>
    </r>
    <r>
      <rPr>
        <b/>
        <sz val="11"/>
        <color theme="1"/>
        <rFont val="Calibri"/>
        <family val="2"/>
        <scheme val="minor"/>
      </rPr>
      <t>"SalesTable"</t>
    </r>
    <r>
      <rPr>
        <sz val="11"/>
        <color theme="1"/>
        <rFont val="Calibri"/>
        <family val="2"/>
        <scheme val="minor"/>
      </rPr>
      <t xml:space="preserve"> in the </t>
    </r>
    <r>
      <rPr>
        <b/>
        <sz val="11"/>
        <color theme="1"/>
        <rFont val="Calibri"/>
        <family val="2"/>
        <scheme val="minor"/>
      </rPr>
      <t>Table Design</t>
    </r>
    <r>
      <rPr>
        <sz val="11"/>
        <color theme="1"/>
        <rFont val="Calibri"/>
        <family val="2"/>
        <scheme val="minor"/>
      </rPr>
      <t xml:space="preserve"> tab.</t>
    </r>
  </si>
  <si>
    <t>Step 4: Create Pivot Tables for Analysis</t>
  </si>
  <si>
    <r>
      <t xml:space="preserve">1. Insert a new worksheet and name it </t>
    </r>
    <r>
      <rPr>
        <b/>
        <sz val="11"/>
        <color theme="1"/>
        <rFont val="Calibri"/>
        <family val="2"/>
        <scheme val="minor"/>
      </rPr>
      <t>"Pivot Analysis"</t>
    </r>
    <r>
      <rPr>
        <sz val="11"/>
        <color theme="1"/>
        <rFont val="Calibri"/>
        <family val="2"/>
        <scheme val="minor"/>
      </rPr>
      <t>.</t>
    </r>
  </si>
  <si>
    <r>
      <t xml:space="preserve">2. Go to </t>
    </r>
    <r>
      <rPr>
        <b/>
        <sz val="11"/>
        <color theme="1"/>
        <rFont val="Calibri"/>
        <family val="2"/>
        <scheme val="minor"/>
      </rPr>
      <t>Insert &gt; PivotTable</t>
    </r>
    <r>
      <rPr>
        <sz val="11"/>
        <color theme="1"/>
        <rFont val="Calibri"/>
        <family val="2"/>
        <scheme val="minor"/>
      </rPr>
      <t xml:space="preserve">, and select </t>
    </r>
    <r>
      <rPr>
        <b/>
        <sz val="11"/>
        <color theme="1"/>
        <rFont val="Calibri"/>
        <family val="2"/>
        <scheme val="minor"/>
      </rPr>
      <t>SalesTable</t>
    </r>
    <r>
      <rPr>
        <sz val="11"/>
        <color theme="1"/>
        <rFont val="Calibri"/>
        <family val="2"/>
        <scheme val="minor"/>
      </rPr>
      <t xml:space="preserve"> as the data source.</t>
    </r>
  </si>
  <si>
    <t>3. Create multiple PivotTables for key metrics:</t>
  </si>
  <si>
    <r>
      <t>Region-wise Sales</t>
    </r>
    <r>
      <rPr>
        <sz val="11"/>
        <color theme="1"/>
        <rFont val="Calibri"/>
        <family val="2"/>
        <scheme val="minor"/>
      </rPr>
      <t>: Drag "Region" to Rows and "Total Sales" to Values.</t>
    </r>
  </si>
  <si>
    <r>
      <t>Product-wise Sales</t>
    </r>
    <r>
      <rPr>
        <sz val="11"/>
        <color theme="1"/>
        <rFont val="Calibri"/>
        <family val="2"/>
        <scheme val="minor"/>
      </rPr>
      <t>: Drag "Product Category" to Rows and "Total Sales" to Values.</t>
    </r>
  </si>
  <si>
    <r>
      <t>Rep Performance</t>
    </r>
    <r>
      <rPr>
        <sz val="11"/>
        <color theme="1"/>
        <rFont val="Calibri"/>
        <family val="2"/>
        <scheme val="minor"/>
      </rPr>
      <t>: Drag "Sales Rep" to Rows and "Total Sales" to Values.</t>
    </r>
  </si>
  <si>
    <r>
      <t>Monthly Sales Trends</t>
    </r>
    <r>
      <rPr>
        <sz val="11"/>
        <color theme="1"/>
        <rFont val="Calibri"/>
        <family val="2"/>
        <scheme val="minor"/>
      </rPr>
      <t>: Drag "Date" (group by Month) to Rows and "Total Sales" to Values.</t>
    </r>
  </si>
  <si>
    <t>Step 5: Visualize Data Using Charts</t>
  </si>
  <si>
    <r>
      <t xml:space="preserve">1. Create a new worksheet named </t>
    </r>
    <r>
      <rPr>
        <b/>
        <sz val="11"/>
        <color theme="1"/>
        <rFont val="Calibri"/>
        <family val="2"/>
        <scheme val="minor"/>
      </rPr>
      <t>"Dashboard"</t>
    </r>
    <r>
      <rPr>
        <sz val="11"/>
        <color theme="1"/>
        <rFont val="Calibri"/>
        <family val="2"/>
        <scheme val="minor"/>
      </rPr>
      <t>.</t>
    </r>
  </si>
  <si>
    <t>2. Insert the following visualizations:</t>
  </si>
  <si>
    <r>
      <t>Bar Chart for Region-wise Sales</t>
    </r>
    <r>
      <rPr>
        <sz val="11"/>
        <color theme="1"/>
        <rFont val="Calibri"/>
        <family val="2"/>
        <scheme val="minor"/>
      </rPr>
      <t>:</t>
    </r>
  </si>
  <si>
    <r>
      <t xml:space="preserve">Select the Region-wise PivotTable and go to </t>
    </r>
    <r>
      <rPr>
        <b/>
        <sz val="11"/>
        <color theme="1"/>
        <rFont val="Calibri"/>
        <family val="2"/>
        <scheme val="minor"/>
      </rPr>
      <t>Insert &gt; Bar Chart</t>
    </r>
    <r>
      <rPr>
        <sz val="11"/>
        <color theme="1"/>
        <rFont val="Calibri"/>
        <family val="2"/>
        <scheme val="minor"/>
      </rPr>
      <t>.</t>
    </r>
  </si>
  <si>
    <t>Place it in the dashboard sheet.</t>
  </si>
  <si>
    <r>
      <t>Pie Chart for Product-wise Sales</t>
    </r>
    <r>
      <rPr>
        <sz val="11"/>
        <color theme="1"/>
        <rFont val="Calibri"/>
        <family val="2"/>
        <scheme val="minor"/>
      </rPr>
      <t>:</t>
    </r>
  </si>
  <si>
    <r>
      <t xml:space="preserve">Select the Product-wise PivotTable and insert a </t>
    </r>
    <r>
      <rPr>
        <b/>
        <sz val="11"/>
        <color theme="1"/>
        <rFont val="Calibri"/>
        <family val="2"/>
        <scheme val="minor"/>
      </rPr>
      <t>Pie Chart</t>
    </r>
    <r>
      <rPr>
        <sz val="11"/>
        <color theme="1"/>
        <rFont val="Calibri"/>
        <family val="2"/>
        <scheme val="minor"/>
      </rPr>
      <t>.</t>
    </r>
  </si>
  <si>
    <r>
      <t>Line Chart for Monthly Trends</t>
    </r>
    <r>
      <rPr>
        <sz val="11"/>
        <color theme="1"/>
        <rFont val="Calibri"/>
        <family val="2"/>
        <scheme val="minor"/>
      </rPr>
      <t>:</t>
    </r>
  </si>
  <si>
    <r>
      <t xml:space="preserve">Select the Monthly Sales PivotTable and insert a </t>
    </r>
    <r>
      <rPr>
        <b/>
        <sz val="11"/>
        <color theme="1"/>
        <rFont val="Calibri"/>
        <family val="2"/>
        <scheme val="minor"/>
      </rPr>
      <t>Line Chart</t>
    </r>
    <r>
      <rPr>
        <sz val="11"/>
        <color theme="1"/>
        <rFont val="Calibri"/>
        <family val="2"/>
        <scheme val="minor"/>
      </rPr>
      <t>.</t>
    </r>
  </si>
  <si>
    <t>Step 6: Add Key Performance Indicators (KPIs)</t>
  </si>
  <si>
    <r>
      <t xml:space="preserve">1. In the </t>
    </r>
    <r>
      <rPr>
        <b/>
        <sz val="11"/>
        <color theme="1"/>
        <rFont val="Calibri"/>
        <family val="2"/>
        <scheme val="minor"/>
      </rPr>
      <t>Dashboard</t>
    </r>
    <r>
      <rPr>
        <sz val="11"/>
        <color theme="1"/>
        <rFont val="Calibri"/>
        <family val="2"/>
        <scheme val="minor"/>
      </rPr>
      <t xml:space="preserve"> sheet, reserve space for KPIs like:</t>
    </r>
  </si>
  <si>
    <r>
      <t>Total Sales</t>
    </r>
    <r>
      <rPr>
        <sz val="11"/>
        <color theme="1"/>
        <rFont val="Calibri"/>
        <family val="2"/>
        <scheme val="minor"/>
      </rPr>
      <t xml:space="preserve">: Use the formula </t>
    </r>
    <r>
      <rPr>
        <sz val="10"/>
        <color theme="1"/>
        <rFont val="Arial Unicode MS"/>
      </rPr>
      <t>=SUM(SalesTable[Total Sales])</t>
    </r>
    <r>
      <rPr>
        <sz val="11"/>
        <color theme="1"/>
        <rFont val="Calibri"/>
        <family val="2"/>
        <scheme val="minor"/>
      </rPr>
      <t>.</t>
    </r>
  </si>
  <si>
    <r>
      <t>Average Sales per Rep</t>
    </r>
    <r>
      <rPr>
        <sz val="11"/>
        <color theme="1"/>
        <rFont val="Calibri"/>
        <family val="2"/>
        <scheme val="minor"/>
      </rPr>
      <t xml:space="preserve">: Use the formula </t>
    </r>
    <r>
      <rPr>
        <sz val="10"/>
        <color theme="1"/>
        <rFont val="Arial Unicode MS"/>
      </rPr>
      <t>=AVERAGE(SalesTable[Total Sales])</t>
    </r>
    <r>
      <rPr>
        <sz val="11"/>
        <color theme="1"/>
        <rFont val="Calibri"/>
        <family val="2"/>
        <scheme val="minor"/>
      </rPr>
      <t>.</t>
    </r>
  </si>
  <si>
    <r>
      <t>Top Performing Region</t>
    </r>
    <r>
      <rPr>
        <sz val="11"/>
        <color theme="1"/>
        <rFont val="Calibri"/>
        <family val="2"/>
        <scheme val="minor"/>
      </rPr>
      <t xml:space="preserve">: Use </t>
    </r>
    <r>
      <rPr>
        <sz val="10"/>
        <color theme="1"/>
        <rFont val="Arial Unicode MS"/>
      </rPr>
      <t>INDEX</t>
    </r>
    <r>
      <rPr>
        <sz val="11"/>
        <color theme="1"/>
        <rFont val="Calibri"/>
        <family val="2"/>
        <scheme val="minor"/>
      </rPr>
      <t xml:space="preserve"> and </t>
    </r>
    <r>
      <rPr>
        <sz val="10"/>
        <color theme="1"/>
        <rFont val="Arial Unicode MS"/>
      </rPr>
      <t>MATCH</t>
    </r>
    <r>
      <rPr>
        <sz val="11"/>
        <color theme="1"/>
        <rFont val="Calibri"/>
        <family val="2"/>
        <scheme val="minor"/>
      </rPr>
      <t xml:space="preserve"> functions to find the highest sales region.</t>
    </r>
  </si>
  <si>
    <t>Step 7: Design the Dashboard</t>
  </si>
  <si>
    <r>
      <t>1. Arrange Visuals</t>
    </r>
    <r>
      <rPr>
        <sz val="11"/>
        <color theme="1"/>
        <rFont val="Calibri"/>
        <family val="2"/>
        <scheme val="minor"/>
      </rPr>
      <t>: Organize charts and KPIs neatly in the Dashboard sheet.</t>
    </r>
  </si>
  <si>
    <r>
      <t>2. Apply Formatting</t>
    </r>
    <r>
      <rPr>
        <sz val="11"/>
        <color theme="1"/>
        <rFont val="Calibri"/>
        <family val="2"/>
        <scheme val="minor"/>
      </rPr>
      <t>:</t>
    </r>
  </si>
  <si>
    <t>Use consistent colors and styles for charts.</t>
  </si>
  <si>
    <r>
      <t xml:space="preserve">Highlight KPIs using </t>
    </r>
    <r>
      <rPr>
        <b/>
        <sz val="11"/>
        <color theme="1"/>
        <rFont val="Calibri"/>
        <family val="2"/>
        <scheme val="minor"/>
      </rPr>
      <t>Conditional Formatting</t>
    </r>
    <r>
      <rPr>
        <sz val="11"/>
        <color theme="1"/>
        <rFont val="Calibri"/>
        <family val="2"/>
        <scheme val="minor"/>
      </rPr>
      <t xml:space="preserve"> or Data Bars.</t>
    </r>
  </si>
  <si>
    <r>
      <t>3. Add Slicers</t>
    </r>
    <r>
      <rPr>
        <sz val="11"/>
        <color theme="1"/>
        <rFont val="Calibri"/>
        <family val="2"/>
        <scheme val="minor"/>
      </rPr>
      <t>:</t>
    </r>
  </si>
  <si>
    <r>
      <t xml:space="preserve">Insert slicers for </t>
    </r>
    <r>
      <rPr>
        <b/>
        <sz val="11"/>
        <color theme="1"/>
        <rFont val="Calibri"/>
        <family val="2"/>
        <scheme val="minor"/>
      </rPr>
      <t>Region</t>
    </r>
    <r>
      <rPr>
        <sz val="11"/>
        <color theme="1"/>
        <rFont val="Calibri"/>
        <family val="2"/>
        <scheme val="minor"/>
      </rPr>
      <t xml:space="preserve">, </t>
    </r>
    <r>
      <rPr>
        <b/>
        <sz val="11"/>
        <color theme="1"/>
        <rFont val="Calibri"/>
        <family val="2"/>
        <scheme val="minor"/>
      </rPr>
      <t>Product Category</t>
    </r>
    <r>
      <rPr>
        <sz val="11"/>
        <color theme="1"/>
        <rFont val="Calibri"/>
        <family val="2"/>
        <scheme val="minor"/>
      </rPr>
      <t xml:space="preserve">, and </t>
    </r>
    <r>
      <rPr>
        <b/>
        <sz val="11"/>
        <color theme="1"/>
        <rFont val="Calibri"/>
        <family val="2"/>
        <scheme val="minor"/>
      </rPr>
      <t>Sales Rep</t>
    </r>
    <r>
      <rPr>
        <sz val="11"/>
        <color theme="1"/>
        <rFont val="Calibri"/>
        <family val="2"/>
        <scheme val="minor"/>
      </rPr>
      <t xml:space="preserve"> to make the dashboard interactive.</t>
    </r>
  </si>
  <si>
    <r>
      <t xml:space="preserve">Connect slicers to relevant PivotTables via </t>
    </r>
    <r>
      <rPr>
        <b/>
        <sz val="11"/>
        <color theme="1"/>
        <rFont val="Calibri"/>
        <family val="2"/>
        <scheme val="minor"/>
      </rPr>
      <t>Report Connections</t>
    </r>
    <r>
      <rPr>
        <sz val="11"/>
        <color theme="1"/>
        <rFont val="Calibri"/>
        <family val="2"/>
        <scheme val="minor"/>
      </rPr>
      <t>.</t>
    </r>
  </si>
  <si>
    <t>Step 8: Final Touches</t>
  </si>
  <si>
    <r>
      <t xml:space="preserve">1. Add a title, such as </t>
    </r>
    <r>
      <rPr>
        <b/>
        <sz val="11"/>
        <color theme="1"/>
        <rFont val="Calibri"/>
        <family val="2"/>
        <scheme val="minor"/>
      </rPr>
      <t>"Sales Performance Dashboard"</t>
    </r>
    <r>
      <rPr>
        <sz val="11"/>
        <color theme="1"/>
        <rFont val="Calibri"/>
        <family val="2"/>
        <scheme val="minor"/>
      </rPr>
      <t>, at the top of the Dashboard sheet.</t>
    </r>
  </si>
  <si>
    <t>2. Protect the workbook to ensure data integrity:</t>
  </si>
  <si>
    <r>
      <t xml:space="preserve">Go to </t>
    </r>
    <r>
      <rPr>
        <b/>
        <sz val="11"/>
        <color theme="1"/>
        <rFont val="Calibri"/>
        <family val="2"/>
        <scheme val="minor"/>
      </rPr>
      <t>Review &gt; Protect Sheet</t>
    </r>
    <r>
      <rPr>
        <sz val="11"/>
        <color theme="1"/>
        <rFont val="Calibri"/>
        <family val="2"/>
        <scheme val="minor"/>
      </rPr>
      <t>, allowing only slicer and filter usage.</t>
    </r>
  </si>
  <si>
    <t>Row Labels</t>
  </si>
  <si>
    <t>(blank)</t>
  </si>
  <si>
    <t>Grand Total</t>
  </si>
  <si>
    <t>Sum of Total Sales</t>
  </si>
  <si>
    <t>Jan</t>
  </si>
  <si>
    <t>Feb</t>
  </si>
  <si>
    <t>Mar</t>
  </si>
  <si>
    <t>Apr</t>
  </si>
  <si>
    <t>May</t>
  </si>
  <si>
    <t>Sum of Variance</t>
  </si>
  <si>
    <t>Total_Sales</t>
  </si>
  <si>
    <t>Target_Sales</t>
  </si>
  <si>
    <t>Total Vs. Target</t>
  </si>
  <si>
    <t>Sales Achieved</t>
  </si>
  <si>
    <t>Sales Missed</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</si>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</sst>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8">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0"/>
      <color theme="1"/>
      <name val="Arial Unicode MS"/>
    </font>
    <font>
      <b/>
      <sz val="24"/>
      <color theme="1"/>
      <name val="Calibri"/>
      <family val="2"/>
      <scheme val="minor"/>
    </font>
    <font>
      <b/>
      <sz val="26"/>
      <color theme="1"/>
      <name val="Calibri"/>
      <family val="2"/>
      <scheme val="minor"/>
    </font>
    <font>
      <sz val="2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0" borderId="0" xfId="0" applyAlignment="1">
      <alignment horizontal="left" vertical="center" indent="1"/>
    </xf>
    <xf numFmtId="0" fontId="2" fillId="0" borderId="0" xfId="0" applyFont="1" applyAlignment="1">
      <alignment horizontal="left" vertical="center" indent="1"/>
    </xf>
    <xf numFmtId="14" fontId="0" fillId="0" borderId="0" xfId="0" applyNumberFormat="1"/>
    <xf numFmtId="0" fontId="3" fillId="0" borderId="0" xfId="0" applyFont="1" applyAlignment="1">
      <alignment vertical="center"/>
    </xf>
    <xf numFmtId="0" fontId="2" fillId="0" borderId="0" xfId="0" applyFont="1" applyAlignment="1">
      <alignment horizontal="left" vertical="center" indent="2"/>
    </xf>
    <xf numFmtId="0" fontId="0" fillId="0" borderId="0" xfId="0" applyAlignment="1">
      <alignment horizontal="left" vertical="center" indent="3"/>
    </xf>
    <xf numFmtId="0" fontId="0" fillId="0" borderId="0" xfId="0" applyAlignment="1">
      <alignment horizontal="left" vertical="center" indent="2"/>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0" fontId="0" fillId="0" borderId="0" xfId="2" applyNumberFormat="1" applyFont="1"/>
    <xf numFmtId="10" fontId="0" fillId="0" borderId="0" xfId="0" applyNumberFormat="1"/>
    <xf numFmtId="44" fontId="6" fillId="0" borderId="0" xfId="1" applyFont="1" applyFill="1" applyBorder="1" applyAlignment="1">
      <alignment vertical="center"/>
    </xf>
    <xf numFmtId="0" fontId="6" fillId="2" borderId="0" xfId="1" applyNumberFormat="1" applyFont="1" applyFill="1" applyBorder="1" applyAlignment="1">
      <alignment vertical="center"/>
    </xf>
    <xf numFmtId="44" fontId="5" fillId="3" borderId="2" xfId="1" applyFont="1" applyFill="1" applyBorder="1" applyAlignment="1">
      <alignment horizontal="center" vertical="center"/>
    </xf>
    <xf numFmtId="44" fontId="5" fillId="3" borderId="1" xfId="1" applyFont="1" applyFill="1" applyBorder="1" applyAlignment="1">
      <alignment horizontal="center" vertical="center"/>
    </xf>
    <xf numFmtId="44" fontId="6" fillId="4" borderId="2" xfId="1" applyFont="1" applyFill="1" applyBorder="1" applyAlignment="1">
      <alignment horizontal="center" vertical="center"/>
    </xf>
    <xf numFmtId="44" fontId="6" fillId="4" borderId="1" xfId="1" applyFont="1" applyFill="1" applyBorder="1" applyAlignment="1">
      <alignment horizontal="center" vertical="center"/>
    </xf>
    <xf numFmtId="0" fontId="6" fillId="5" borderId="2" xfId="1" applyNumberFormat="1" applyFont="1" applyFill="1" applyBorder="1" applyAlignment="1">
      <alignment horizontal="center" vertical="center"/>
    </xf>
    <xf numFmtId="0" fontId="6" fillId="5" borderId="1" xfId="1" applyNumberFormat="1" applyFont="1" applyFill="1" applyBorder="1" applyAlignment="1">
      <alignment horizontal="center" vertical="center"/>
    </xf>
    <xf numFmtId="0" fontId="7" fillId="6" borderId="1" xfId="0" applyFont="1" applyFill="1" applyBorder="1" applyAlignment="1">
      <alignment horizontal="center" vertical="center"/>
    </xf>
  </cellXfs>
  <cellStyles count="3">
    <cellStyle name="Currency" xfId="1" builtinId="4"/>
    <cellStyle name="Normal" xfId="0" builtinId="0"/>
    <cellStyle name="Percent" xfId="2" builtinId="5"/>
  </cellStyles>
  <dxfs count="2">
    <dxf>
      <numFmt numFmtId="0" formatCode="General"/>
    </dxf>
    <dxf>
      <numFmt numFmtId="165" formatCode="mm/d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Performance Dashboard.xlsx]Pivot Analysis!Region-wise Sales</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K"/>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Analysis'!$A$2:$A$7</c:f>
              <c:strCache>
                <c:ptCount val="5"/>
                <c:pt idx="0">
                  <c:v>East</c:v>
                </c:pt>
                <c:pt idx="1">
                  <c:v>North</c:v>
                </c:pt>
                <c:pt idx="2">
                  <c:v>South</c:v>
                </c:pt>
                <c:pt idx="3">
                  <c:v>West</c:v>
                </c:pt>
                <c:pt idx="4">
                  <c:v>(blank)</c:v>
                </c:pt>
              </c:strCache>
            </c:strRef>
          </c:cat>
          <c:val>
            <c:numRef>
              <c:f>'Pivot Analysis'!$B$2:$B$7</c:f>
              <c:numCache>
                <c:formatCode>"$"#,##0</c:formatCode>
                <c:ptCount val="5"/>
                <c:pt idx="0">
                  <c:v>4520</c:v>
                </c:pt>
                <c:pt idx="1">
                  <c:v>11825</c:v>
                </c:pt>
                <c:pt idx="2">
                  <c:v>3450</c:v>
                </c:pt>
                <c:pt idx="3">
                  <c:v>7275</c:v>
                </c:pt>
              </c:numCache>
            </c:numRef>
          </c:val>
          <c:extLst>
            <c:ext xmlns:c16="http://schemas.microsoft.com/office/drawing/2014/chart" uri="{C3380CC4-5D6E-409C-BE32-E72D297353CC}">
              <c16:uniqueId val="{00000000-A5FC-4FFE-8C79-1E7A2D05202D}"/>
            </c:ext>
          </c:extLst>
        </c:ser>
        <c:dLbls>
          <c:showLegendKey val="0"/>
          <c:showVal val="1"/>
          <c:showCatName val="0"/>
          <c:showSerName val="0"/>
          <c:showPercent val="0"/>
          <c:showBubbleSize val="0"/>
        </c:dLbls>
        <c:gapWidth val="150"/>
        <c:shape val="box"/>
        <c:axId val="186207504"/>
        <c:axId val="186207984"/>
        <c:axId val="0"/>
      </c:bar3DChart>
      <c:catAx>
        <c:axId val="18620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186207984"/>
        <c:crosses val="autoZero"/>
        <c:auto val="1"/>
        <c:lblAlgn val="ctr"/>
        <c:lblOffset val="100"/>
        <c:noMultiLvlLbl val="0"/>
      </c:catAx>
      <c:valAx>
        <c:axId val="18620798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18620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Performance Dashboard.xlsx]Pivot Analysis!Product-wise Sales</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K"/>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1B-401F-AF06-CC022C5266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1B-401F-AF06-CC022C5266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1B-401F-AF06-CC022C5266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67B-4A7E-864C-3180A1926B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Analysis'!$E$2:$E$6</c:f>
              <c:strCache>
                <c:ptCount val="4"/>
                <c:pt idx="0">
                  <c:v>Apparel</c:v>
                </c:pt>
                <c:pt idx="1">
                  <c:v>Electronics</c:v>
                </c:pt>
                <c:pt idx="2">
                  <c:v>Furniture</c:v>
                </c:pt>
                <c:pt idx="3">
                  <c:v>(blank)</c:v>
                </c:pt>
              </c:strCache>
            </c:strRef>
          </c:cat>
          <c:val>
            <c:numRef>
              <c:f>'Pivot Analysis'!$F$2:$F$6</c:f>
              <c:numCache>
                <c:formatCode>"$"#,##0</c:formatCode>
                <c:ptCount val="4"/>
                <c:pt idx="0">
                  <c:v>2920</c:v>
                </c:pt>
                <c:pt idx="1">
                  <c:v>20000</c:v>
                </c:pt>
                <c:pt idx="2">
                  <c:v>4150</c:v>
                </c:pt>
              </c:numCache>
            </c:numRef>
          </c:val>
          <c:extLst>
            <c:ext xmlns:c16="http://schemas.microsoft.com/office/drawing/2014/chart" uri="{C3380CC4-5D6E-409C-BE32-E72D297353CC}">
              <c16:uniqueId val="{00000006-D11B-401F-AF06-CC022C526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Performance Dashboard.xlsx]Pivot Analysis!Monthly Sales Trends</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K"/>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'Pivot Analysis'!$N$1</c:f>
              <c:strCache>
                <c:ptCount val="1"/>
                <c:pt idx="0">
                  <c:v>Total_Sales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Analysis'!$M$2:$M$7</c:f>
              <c:strCache>
                <c:ptCount val="5"/>
                <c:pt idx="0">
                  <c:v>Jan</c:v>
                </c:pt>
                <c:pt idx="1">
                  <c:v>Feb</c:v>
                </c:pt>
                <c:pt idx="2">
                  <c:v>Mar</c:v>
                </c:pt>
                <c:pt idx="3">
                  <c:v>Apr</c:v>
                </c:pt>
                <c:pt idx="4">
                  <c:v>May</c:v>
                </c:pt>
              </c:strCache>
            </c:strRef>
          </c:cat>
          <c:val>
            <c:numRef>
              <c:f>'Pivot Analysis'!$N$2:$N$7</c:f>
              <c:numCache>
                <c:formatCode>"$"#,##0</c:formatCode>
                <c:ptCount val="5"/>
                <c:pt idx="0">
                  <c:v>13100</c:v>
                </c:pt>
                <c:pt idx="1">
                  <c:v>4050</c:v>
                </c:pt>
                <c:pt idx="2">
                  <c:v>2750</c:v>
                </c:pt>
                <c:pt idx="3">
                  <c:v>5120</c:v>
                </c:pt>
                <c:pt idx="4">
                  <c:v>2050</c:v>
                </c:pt>
              </c:numCache>
            </c:numRef>
          </c:val>
          <c:smooth val="0"/>
          <c:extLst>
            <c:ext xmlns:c16="http://schemas.microsoft.com/office/drawing/2014/chart" uri="{C3380CC4-5D6E-409C-BE32-E72D297353CC}">
              <c16:uniqueId val="{00000000-CA72-4E08-B589-4D88A06BCF47}"/>
            </c:ext>
          </c:extLst>
        </c:ser>
        <c:dLbls>
          <c:showLegendKey val="0"/>
          <c:showVal val="0"/>
          <c:showCatName val="0"/>
          <c:showSerName val="0"/>
          <c:showPercent val="0"/>
          <c:showBubbleSize val="0"/>
        </c:dLbls>
        <c:marker val="1"/>
        <c:smooth val="0"/>
        <c:axId val="375455760"/>
        <c:axId val="375457200"/>
      </c:lineChart>
      <c:lineChart>
        <c:grouping val="stacked"/>
        <c:varyColors val="0"/>
        <c:ser>
          <c:idx val="1"/>
          <c:order val="1"/>
          <c:tx>
            <c:strRef>
              <c:f>'Pivot Analysis'!$O$1</c:f>
              <c:strCache>
                <c:ptCount val="1"/>
                <c:pt idx="0">
                  <c:v>Target_Sales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Analysis'!$M$2:$M$7</c:f>
              <c:strCache>
                <c:ptCount val="5"/>
                <c:pt idx="0">
                  <c:v>Jan</c:v>
                </c:pt>
                <c:pt idx="1">
                  <c:v>Feb</c:v>
                </c:pt>
                <c:pt idx="2">
                  <c:v>Mar</c:v>
                </c:pt>
                <c:pt idx="3">
                  <c:v>Apr</c:v>
                </c:pt>
                <c:pt idx="4">
                  <c:v>May</c:v>
                </c:pt>
              </c:strCache>
            </c:strRef>
          </c:cat>
          <c:val>
            <c:numRef>
              <c:f>'Pivot Analysis'!$O$2:$O$7</c:f>
              <c:numCache>
                <c:formatCode>"$"#,##0</c:formatCode>
                <c:ptCount val="5"/>
                <c:pt idx="0">
                  <c:v>13520</c:v>
                </c:pt>
                <c:pt idx="1">
                  <c:v>4500</c:v>
                </c:pt>
                <c:pt idx="2">
                  <c:v>2900</c:v>
                </c:pt>
                <c:pt idx="3">
                  <c:v>6000</c:v>
                </c:pt>
                <c:pt idx="4">
                  <c:v>2600</c:v>
                </c:pt>
              </c:numCache>
            </c:numRef>
          </c:val>
          <c:smooth val="0"/>
          <c:extLst>
            <c:ext xmlns:c16="http://schemas.microsoft.com/office/drawing/2014/chart" uri="{C3380CC4-5D6E-409C-BE32-E72D297353CC}">
              <c16:uniqueId val="{00000001-CA72-4E08-B589-4D88A06BCF47}"/>
            </c:ext>
          </c:extLst>
        </c:ser>
        <c:dLbls>
          <c:showLegendKey val="0"/>
          <c:showVal val="0"/>
          <c:showCatName val="0"/>
          <c:showSerName val="0"/>
          <c:showPercent val="0"/>
          <c:showBubbleSize val="0"/>
        </c:dLbls>
        <c:marker val="1"/>
        <c:smooth val="0"/>
        <c:axId val="1222160336"/>
        <c:axId val="1222158416"/>
      </c:lineChart>
      <c:catAx>
        <c:axId val="375455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375457200"/>
        <c:crosses val="autoZero"/>
        <c:auto val="1"/>
        <c:lblAlgn val="ctr"/>
        <c:lblOffset val="100"/>
        <c:noMultiLvlLbl val="0"/>
      </c:catAx>
      <c:valAx>
        <c:axId val="375457200"/>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375455760"/>
        <c:crosses val="autoZero"/>
        <c:crossBetween val="between"/>
      </c:valAx>
      <c:valAx>
        <c:axId val="1222158416"/>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1222160336"/>
        <c:crosses val="max"/>
        <c:crossBetween val="between"/>
      </c:valAx>
      <c:catAx>
        <c:axId val="1222160336"/>
        <c:scaling>
          <c:orientation val="minMax"/>
        </c:scaling>
        <c:delete val="1"/>
        <c:axPos val="b"/>
        <c:numFmt formatCode="General" sourceLinked="1"/>
        <c:majorTickMark val="none"/>
        <c:minorTickMark val="none"/>
        <c:tickLblPos val="nextTo"/>
        <c:crossAx val="12221584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Progress Indicator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PK"/>
        </a:p>
      </c:txPr>
    </c:title>
    <c:autoTitleDeleted val="0"/>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21-4716-9CC5-4A13C0DF7D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21-4716-9CC5-4A13C0DF7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Analysis'!$R$2:$R$3</c:f>
              <c:strCache>
                <c:ptCount val="2"/>
                <c:pt idx="0">
                  <c:v>Sales Achieved</c:v>
                </c:pt>
                <c:pt idx="1">
                  <c:v>Sales Missed</c:v>
                </c:pt>
              </c:strCache>
            </c:strRef>
          </c:cat>
          <c:val>
            <c:numRef>
              <c:f>'Pivot Analysis'!$S$2:$S$3</c:f>
              <c:numCache>
                <c:formatCode>0.00%</c:formatCode>
                <c:ptCount val="2"/>
                <c:pt idx="0">
                  <c:v>0.91700542005420049</c:v>
                </c:pt>
                <c:pt idx="1">
                  <c:v>8.2994579945799507E-2</c:v>
                </c:pt>
              </c:numCache>
            </c:numRef>
          </c:val>
          <c:extLst>
            <c:ext xmlns:c16="http://schemas.microsoft.com/office/drawing/2014/chart" uri="{C3380CC4-5D6E-409C-BE32-E72D297353CC}">
              <c16:uniqueId val="{00000004-9F21-4716-9CC5-4A13C0DF7D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388327</xdr:colOff>
      <xdr:row>19</xdr:row>
      <xdr:rowOff>117231</xdr:rowOff>
    </xdr:to>
    <xdr:graphicFrame macro="">
      <xdr:nvGraphicFramePr>
        <xdr:cNvPr id="2" name="Chart 1">
          <a:extLst>
            <a:ext uri="{FF2B5EF4-FFF2-40B4-BE49-F238E27FC236}">
              <a16:creationId xmlns:a16="http://schemas.microsoft.com/office/drawing/2014/main" id="{2D15CA07-977A-401A-A1A6-932F43E28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393457</xdr:colOff>
      <xdr:row>5</xdr:row>
      <xdr:rowOff>0</xdr:rowOff>
    </xdr:from>
    <xdr:to>
      <xdr:col>12</xdr:col>
      <xdr:colOff>586154</xdr:colOff>
      <xdr:row>19</xdr:row>
      <xdr:rowOff>117231</xdr:rowOff>
    </xdr:to>
    <xdr:graphicFrame macro="">
      <xdr:nvGraphicFramePr>
        <xdr:cNvPr id="3" name="Chart 2">
          <a:extLst>
            <a:ext uri="{FF2B5EF4-FFF2-40B4-BE49-F238E27FC236}">
              <a16:creationId xmlns:a16="http://schemas.microsoft.com/office/drawing/2014/main" id="{B8A614BB-1B8B-46E6-A09D-6410968FF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122360</xdr:rowOff>
    </xdr:from>
    <xdr:to>
      <xdr:col>12</xdr:col>
      <xdr:colOff>593481</xdr:colOff>
      <xdr:row>32</xdr:row>
      <xdr:rowOff>27110</xdr:rowOff>
    </xdr:to>
    <xdr:graphicFrame macro="">
      <xdr:nvGraphicFramePr>
        <xdr:cNvPr id="4" name="Chart 3">
          <a:extLst>
            <a:ext uri="{FF2B5EF4-FFF2-40B4-BE49-F238E27FC236}">
              <a16:creationId xmlns:a16="http://schemas.microsoft.com/office/drawing/2014/main" id="{7B6A970E-3E66-43C8-83FF-5FFC630D5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10502</xdr:colOff>
      <xdr:row>2</xdr:row>
      <xdr:rowOff>0</xdr:rowOff>
    </xdr:from>
    <xdr:to>
      <xdr:col>2</xdr:col>
      <xdr:colOff>560020</xdr:colOff>
      <xdr:row>4</xdr:row>
      <xdr:rowOff>171694</xdr:rowOff>
    </xdr:to>
    <xdr:sp macro="" textlink="">
      <xdr:nvSpPr>
        <xdr:cNvPr id="6" name="Rectangle: Rounded Corners 5">
          <a:extLst>
            <a:ext uri="{FF2B5EF4-FFF2-40B4-BE49-F238E27FC236}">
              <a16:creationId xmlns:a16="http://schemas.microsoft.com/office/drawing/2014/main" id="{A7CAB6A4-D2E9-97E1-AE9B-885AEE02D28A}"/>
            </a:ext>
          </a:extLst>
        </xdr:cNvPr>
        <xdr:cNvSpPr/>
      </xdr:nvSpPr>
      <xdr:spPr>
        <a:xfrm>
          <a:off x="10502" y="359019"/>
          <a:ext cx="1765787" cy="5453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Total Sales</a:t>
          </a:r>
        </a:p>
      </xdr:txBody>
    </xdr:sp>
    <xdr:clientData/>
  </xdr:twoCellAnchor>
  <xdr:twoCellAnchor>
    <xdr:from>
      <xdr:col>6</xdr:col>
      <xdr:colOff>28331</xdr:colOff>
      <xdr:row>2</xdr:row>
      <xdr:rowOff>0</xdr:rowOff>
    </xdr:from>
    <xdr:to>
      <xdr:col>9</xdr:col>
      <xdr:colOff>571500</xdr:colOff>
      <xdr:row>4</xdr:row>
      <xdr:rowOff>183173</xdr:rowOff>
    </xdr:to>
    <xdr:sp macro="" textlink="">
      <xdr:nvSpPr>
        <xdr:cNvPr id="7" name="Rectangle: Rounded Corners 6">
          <a:extLst>
            <a:ext uri="{FF2B5EF4-FFF2-40B4-BE49-F238E27FC236}">
              <a16:creationId xmlns:a16="http://schemas.microsoft.com/office/drawing/2014/main" id="{43AB9D56-E360-45C0-8E2C-4C6DE4F7BDCA}"/>
            </a:ext>
          </a:extLst>
        </xdr:cNvPr>
        <xdr:cNvSpPr/>
      </xdr:nvSpPr>
      <xdr:spPr>
        <a:xfrm>
          <a:off x="3662485" y="365369"/>
          <a:ext cx="2367573" cy="5504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Average Sales per Rep</a:t>
          </a:r>
        </a:p>
      </xdr:txBody>
    </xdr:sp>
    <xdr:clientData/>
  </xdr:twoCellAnchor>
  <xdr:twoCellAnchor>
    <xdr:from>
      <xdr:col>13</xdr:col>
      <xdr:colOff>26135</xdr:colOff>
      <xdr:row>2</xdr:row>
      <xdr:rowOff>0</xdr:rowOff>
    </xdr:from>
    <xdr:to>
      <xdr:col>16</xdr:col>
      <xdr:colOff>212481</xdr:colOff>
      <xdr:row>5</xdr:row>
      <xdr:rowOff>10502</xdr:rowOff>
    </xdr:to>
    <xdr:sp macro="" textlink="">
      <xdr:nvSpPr>
        <xdr:cNvPr id="8" name="Rectangle: Rounded Corners 7">
          <a:extLst>
            <a:ext uri="{FF2B5EF4-FFF2-40B4-BE49-F238E27FC236}">
              <a16:creationId xmlns:a16="http://schemas.microsoft.com/office/drawing/2014/main" id="{6AAD13FE-2A23-437E-9E7E-CF540F8DC3E8}"/>
            </a:ext>
          </a:extLst>
        </xdr:cNvPr>
        <xdr:cNvSpPr/>
      </xdr:nvSpPr>
      <xdr:spPr>
        <a:xfrm>
          <a:off x="7917231" y="402981"/>
          <a:ext cx="2450365" cy="574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Top Performing Region</a:t>
          </a:r>
        </a:p>
      </xdr:txBody>
    </xdr:sp>
    <xdr:clientData/>
  </xdr:twoCellAnchor>
  <xdr:twoCellAnchor>
    <xdr:from>
      <xdr:col>12</xdr:col>
      <xdr:colOff>601053</xdr:colOff>
      <xdr:row>5</xdr:row>
      <xdr:rowOff>8304</xdr:rowOff>
    </xdr:from>
    <xdr:to>
      <xdr:col>16</xdr:col>
      <xdr:colOff>201979</xdr:colOff>
      <xdr:row>19</xdr:row>
      <xdr:rowOff>106729</xdr:rowOff>
    </xdr:to>
    <xdr:graphicFrame macro="">
      <xdr:nvGraphicFramePr>
        <xdr:cNvPr id="10" name="Chart 9">
          <a:extLst>
            <a:ext uri="{FF2B5EF4-FFF2-40B4-BE49-F238E27FC236}">
              <a16:creationId xmlns:a16="http://schemas.microsoft.com/office/drawing/2014/main" id="{F8B314A1-E52E-4712-A9FA-8D1721EB2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36635</xdr:colOff>
      <xdr:row>19</xdr:row>
      <xdr:rowOff>131885</xdr:rowOff>
    </xdr:from>
    <xdr:to>
      <xdr:col>15</xdr:col>
      <xdr:colOff>907562</xdr:colOff>
      <xdr:row>32</xdr:row>
      <xdr:rowOff>21981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8F3E45A-ACCB-4E43-9EC6-A9CF5639B0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27731" y="3663462"/>
              <a:ext cx="2084021" cy="2271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942366</xdr:colOff>
      <xdr:row>19</xdr:row>
      <xdr:rowOff>122604</xdr:rowOff>
    </xdr:from>
    <xdr:to>
      <xdr:col>20</xdr:col>
      <xdr:colOff>10503</xdr:colOff>
      <xdr:row>32</xdr:row>
      <xdr:rowOff>29308</xdr:rowOff>
    </xdr:to>
    <mc:AlternateContent xmlns:mc="http://schemas.openxmlformats.org/markup-compatibility/2006" xmlns:a14="http://schemas.microsoft.com/office/drawing/2010/main">
      <mc:Choice Requires="a14">
        <xdr:graphicFrame macro="">
          <xdr:nvGraphicFramePr>
            <xdr:cNvPr id="15" name="Product Category">
              <a:extLst>
                <a:ext uri="{FF2B5EF4-FFF2-40B4-BE49-F238E27FC236}">
                  <a16:creationId xmlns:a16="http://schemas.microsoft.com/office/drawing/2014/main" id="{6A04E807-FAD0-404A-95D2-E94E0E9A5BF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052906" y="3657356"/>
              <a:ext cx="2161076" cy="2281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17</xdr:col>
      <xdr:colOff>7084</xdr:colOff>
      <xdr:row>5</xdr:row>
      <xdr:rowOff>14941</xdr:rowOff>
    </xdr:from>
    <xdr:to>
      <xdr:col>19</xdr:col>
      <xdr:colOff>607827</xdr:colOff>
      <xdr:row>19</xdr:row>
      <xdr:rowOff>68183</xdr:rowOff>
    </xdr:to>
    <mc:AlternateContent xmlns:mc="http://schemas.openxmlformats.org/markup-compatibility/2006">
      <mc:Choice xmlns:a14="http://schemas.microsoft.com/office/drawing/2010/main" Requires="a14">
        <xdr:graphicFrame macro="">
          <xdr:nvGraphicFramePr>
            <xdr:cNvPr id="16" name="Sales Rep">
              <a:extLst>
                <a:ext uri="{FF2B5EF4-FFF2-40B4-BE49-F238E27FC236}">
                  <a16:creationId xmlns:a16="http://schemas.microsoft.com/office/drawing/2014/main" id="{93E3DB14-06D7-4521-899C-AF23026480CD}"/>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10368627" y="984006"/>
              <a:ext cx="1826570" cy="2620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id, Usman" refreshedDate="45629.496409375002" createdVersion="8" refreshedVersion="8" minRefreshableVersion="3" recordCount="21" xr:uid="{CD1EA6B3-0D26-4AD9-B140-B3D0D60C1C86}">
  <cacheSource type="worksheet">
    <worksheetSource ref="A1:J1048576" sheet="SalesData"/>
  </cacheSource>
  <cacheFields count="11">
    <cacheField name="Date" numFmtId="0">
      <sharedItems containsNonDate="0" containsDate="1" containsString="0" containsBlank="1" minDate="2024-01-05T00:00:00" maxDate="2024-05-16T00:00:00" count="21">
        <d v="2024-01-05T00:00:00"/>
        <d v="2024-01-10T00:00:00"/>
        <d v="2024-01-15T00:00:00"/>
        <d v="2024-01-20T00:00:00"/>
        <d v="2024-02-01T00:00:00"/>
        <d v="2024-02-05T00:00:00"/>
        <d v="2024-02-10T00:00:00"/>
        <d v="2024-02-15T00:00:00"/>
        <d v="2024-03-01T00:00:00"/>
        <d v="2024-03-10T00:00:00"/>
        <d v="2024-03-20T00:00:00"/>
        <d v="2024-03-25T00:00:00"/>
        <d v="2024-04-01T00:00:00"/>
        <d v="2024-04-05T00:00:00"/>
        <d v="2024-04-15T00:00:00"/>
        <d v="2024-04-20T00:00:00"/>
        <d v="2024-05-01T00:00:00"/>
        <d v="2024-05-05T00:00:00"/>
        <d v="2024-05-10T00:00:00"/>
        <d v="2024-05-15T00:00:00"/>
        <m/>
      </sharedItems>
      <fieldGroup par="10"/>
    </cacheField>
    <cacheField name="Region" numFmtId="0">
      <sharedItems containsBlank="1" count="5">
        <s v="North"/>
        <s v="South"/>
        <s v="East"/>
        <s v="West"/>
        <m/>
      </sharedItems>
    </cacheField>
    <cacheField name="Product Category" numFmtId="0">
      <sharedItems containsBlank="1" count="4">
        <s v="Electronics"/>
        <s v="Furniture"/>
        <s v="Apparel"/>
        <m/>
      </sharedItems>
    </cacheField>
    <cacheField name="Product Name" numFmtId="0">
      <sharedItems containsBlank="1"/>
    </cacheField>
    <cacheField name="Sales Rep" numFmtId="0">
      <sharedItems containsBlank="1" count="7">
        <s v="John Smith"/>
        <s v="Sarah Johnson"/>
        <s v="Mark Lee"/>
        <s v="Emily Brown"/>
        <s v="James Wilson"/>
        <s v="Linda Taylor"/>
        <m/>
      </sharedItems>
    </cacheField>
    <cacheField name="Units Sold" numFmtId="0">
      <sharedItems containsString="0" containsBlank="1" containsNumber="1" containsInteger="1" minValue="1" maxValue="25"/>
    </cacheField>
    <cacheField name="Unit Price" numFmtId="0">
      <sharedItems containsString="0" containsBlank="1" containsNumber="1" containsInteger="1" minValue="10" maxValue="800"/>
    </cacheField>
    <cacheField name="Total Sales" numFmtId="0">
      <sharedItems containsString="0" containsBlank="1" containsNumber="1" containsInteger="1" minValue="250" maxValue="8000"/>
    </cacheField>
    <cacheField name="Target Sales" numFmtId="0">
      <sharedItems containsString="0" containsBlank="1" containsNumber="1" containsInteger="1" minValue="300" maxValue="8500"/>
    </cacheField>
    <cacheField name="Variance" numFmtId="0">
      <sharedItems containsString="0" containsBlank="1" containsNumber="1" containsInteger="1" minValue="-500" maxValue="200"/>
    </cacheField>
    <cacheField name="Months (Date)" numFmtId="0" databaseField="0">
      <fieldGroup base="0">
        <rangePr groupBy="months" startDate="2024-01-05T00:00:00" endDate="2024-05-16T00:00:00"/>
        <groupItems count="14">
          <s v="&lt;01/05/2024"/>
          <s v="Jan"/>
          <s v="Feb"/>
          <s v="Mar"/>
          <s v="Apr"/>
          <s v="May"/>
          <s v="Jun"/>
          <s v="Jul"/>
          <s v="Aug"/>
          <s v="Sep"/>
          <s v="Oct"/>
          <s v="Nov"/>
          <s v="Dec"/>
          <s v="&gt;05/16/2024"/>
        </groupItems>
      </fieldGroup>
    </cacheField>
  </cacheFields>
  <extLst>
    <ext xmlns:x14="http://schemas.microsoft.com/office/spreadsheetml/2009/9/main" uri="{725AE2AE-9491-48be-B2B4-4EB974FC3084}">
      <x14:pivotCacheDefinition pivotCacheId="1960557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s v="Laptop"/>
    <x v="0"/>
    <n v="10"/>
    <n v="800"/>
    <n v="8000"/>
    <n v="8500"/>
    <n v="-500"/>
  </r>
  <r>
    <x v="1"/>
    <x v="1"/>
    <x v="1"/>
    <s v="Office Chair"/>
    <x v="1"/>
    <n v="5"/>
    <n v="120"/>
    <n v="600"/>
    <n v="700"/>
    <n v="-100"/>
  </r>
  <r>
    <x v="2"/>
    <x v="2"/>
    <x v="2"/>
    <s v="T-Shirt"/>
    <x v="2"/>
    <n v="20"/>
    <n v="15"/>
    <n v="300"/>
    <n v="320"/>
    <n v="-20"/>
  </r>
  <r>
    <x v="3"/>
    <x v="3"/>
    <x v="0"/>
    <s v="Smartphone"/>
    <x v="3"/>
    <n v="7"/>
    <n v="600"/>
    <n v="4200"/>
    <n v="4000"/>
    <n v="200"/>
  </r>
  <r>
    <x v="4"/>
    <x v="0"/>
    <x v="1"/>
    <s v="Desk"/>
    <x v="4"/>
    <n v="3"/>
    <n v="250"/>
    <n v="750"/>
    <n v="900"/>
    <n v="-150"/>
  </r>
  <r>
    <x v="5"/>
    <x v="1"/>
    <x v="2"/>
    <s v="Jacket"/>
    <x v="5"/>
    <n v="10"/>
    <n v="60"/>
    <n v="600"/>
    <n v="700"/>
    <n v="-100"/>
  </r>
  <r>
    <x v="6"/>
    <x v="2"/>
    <x v="0"/>
    <s v="Tablet"/>
    <x v="0"/>
    <n v="8"/>
    <n v="300"/>
    <n v="2400"/>
    <n v="2500"/>
    <n v="-100"/>
  </r>
  <r>
    <x v="7"/>
    <x v="3"/>
    <x v="1"/>
    <s v="Bookshelf"/>
    <x v="1"/>
    <n v="2"/>
    <n v="150"/>
    <n v="300"/>
    <n v="400"/>
    <n v="-100"/>
  </r>
  <r>
    <x v="8"/>
    <x v="0"/>
    <x v="2"/>
    <s v="Hoodie"/>
    <x v="2"/>
    <n v="15"/>
    <n v="25"/>
    <n v="375"/>
    <n v="400"/>
    <n v="-25"/>
  </r>
  <r>
    <x v="9"/>
    <x v="1"/>
    <x v="0"/>
    <s v="Headphones"/>
    <x v="3"/>
    <n v="12"/>
    <n v="100"/>
    <n v="1200"/>
    <n v="1100"/>
    <n v="100"/>
  </r>
  <r>
    <x v="10"/>
    <x v="2"/>
    <x v="1"/>
    <s v="Sofa"/>
    <x v="4"/>
    <n v="1"/>
    <n v="500"/>
    <n v="500"/>
    <n v="600"/>
    <n v="-100"/>
  </r>
  <r>
    <x v="11"/>
    <x v="3"/>
    <x v="2"/>
    <s v="Sneakers"/>
    <x v="5"/>
    <n v="9"/>
    <n v="75"/>
    <n v="675"/>
    <n v="800"/>
    <n v="-125"/>
  </r>
  <r>
    <x v="12"/>
    <x v="0"/>
    <x v="0"/>
    <s v="Camera"/>
    <x v="0"/>
    <n v="3"/>
    <n v="700"/>
    <n v="2100"/>
    <n v="2000"/>
    <n v="100"/>
  </r>
  <r>
    <x v="13"/>
    <x v="1"/>
    <x v="1"/>
    <s v="Dining Table"/>
    <x v="1"/>
    <n v="2"/>
    <n v="400"/>
    <n v="800"/>
    <n v="1200"/>
    <n v="-400"/>
  </r>
  <r>
    <x v="14"/>
    <x v="2"/>
    <x v="2"/>
    <s v="Jeans"/>
    <x v="2"/>
    <n v="18"/>
    <n v="40"/>
    <n v="720"/>
    <n v="800"/>
    <n v="-80"/>
  </r>
  <r>
    <x v="15"/>
    <x v="3"/>
    <x v="0"/>
    <s v="Smartwatch"/>
    <x v="3"/>
    <n v="6"/>
    <n v="250"/>
    <n v="1500"/>
    <n v="2000"/>
    <n v="-500"/>
  </r>
  <r>
    <x v="16"/>
    <x v="0"/>
    <x v="1"/>
    <s v="Bed Frame"/>
    <x v="4"/>
    <n v="1"/>
    <n v="600"/>
    <n v="600"/>
    <n v="900"/>
    <n v="-300"/>
  </r>
  <r>
    <x v="17"/>
    <x v="1"/>
    <x v="2"/>
    <s v="Cap"/>
    <x v="5"/>
    <n v="25"/>
    <n v="10"/>
    <n v="250"/>
    <n v="300"/>
    <n v="-50"/>
  </r>
  <r>
    <x v="18"/>
    <x v="2"/>
    <x v="0"/>
    <s v="Earbuds"/>
    <x v="0"/>
    <n v="12"/>
    <n v="50"/>
    <n v="600"/>
    <n v="800"/>
    <n v="-200"/>
  </r>
  <r>
    <x v="19"/>
    <x v="3"/>
    <x v="1"/>
    <s v="Coffee Table"/>
    <x v="1"/>
    <n v="3"/>
    <n v="200"/>
    <n v="600"/>
    <n v="600"/>
    <n v="0"/>
  </r>
  <r>
    <x v="20"/>
    <x v="4"/>
    <x v="3"/>
    <m/>
    <x v="6"/>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30A50F-0E0F-4983-9E86-03F53719EA7A}" name="Product-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F6" firstHeaderRow="1" firstDataRow="1" firstDataCol="1"/>
  <pivotFields count="11">
    <pivotField showAll="0">
      <items count="22">
        <item x="0"/>
        <item x="1"/>
        <item x="2"/>
        <item x="3"/>
        <item x="4"/>
        <item x="5"/>
        <item x="6"/>
        <item x="7"/>
        <item x="8"/>
        <item x="9"/>
        <item x="10"/>
        <item x="11"/>
        <item x="12"/>
        <item x="13"/>
        <item x="14"/>
        <item x="15"/>
        <item x="16"/>
        <item x="17"/>
        <item x="18"/>
        <item x="19"/>
        <item x="20"/>
        <item t="default"/>
      </items>
    </pivotField>
    <pivotField showAll="0">
      <items count="6">
        <item x="2"/>
        <item x="0"/>
        <item x="1"/>
        <item x="3"/>
        <item x="4"/>
        <item t="default"/>
      </items>
    </pivotField>
    <pivotField axis="axisRow" showAll="0">
      <items count="5">
        <item x="2"/>
        <item x="0"/>
        <item x="1"/>
        <item x="3"/>
        <item t="default"/>
      </items>
    </pivotField>
    <pivotField showAll="0"/>
    <pivotField showAll="0">
      <items count="8">
        <item x="3"/>
        <item x="4"/>
        <item x="0"/>
        <item x="5"/>
        <item x="2"/>
        <item x="1"/>
        <item x="6"/>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2" baseItem="0" numFmtId="164"/>
  </dataFields>
  <conditionalFormats count="1">
    <conditionalFormat priority="3">
      <pivotAreas count="1">
        <pivotArea type="data" collapsedLevelsAreSubtotals="1" fieldPosition="0">
          <references count="2">
            <reference field="4294967294" count="1" selected="0">
              <x v="0"/>
            </reference>
            <reference field="2" count="3">
              <x v="0"/>
              <x v="1"/>
              <x v="2"/>
            </reference>
          </references>
        </pivotArea>
      </pivotAreas>
    </conditionalFormat>
  </conditionalFormats>
  <chartFormats count="5">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 count="1" selected="0">
            <x v="0"/>
          </reference>
        </references>
      </pivotArea>
    </chartFormat>
    <chartFormat chart="13" format="7">
      <pivotArea type="data" outline="0" fieldPosition="0">
        <references count="2">
          <reference field="4294967294" count="1" selected="0">
            <x v="0"/>
          </reference>
          <reference field="2" count="1" selected="0">
            <x v="1"/>
          </reference>
        </references>
      </pivotArea>
    </chartFormat>
    <chartFormat chart="13" format="8">
      <pivotArea type="data" outline="0" fieldPosition="0">
        <references count="2">
          <reference field="4294967294" count="1" selected="0">
            <x v="0"/>
          </reference>
          <reference field="2" count="1" selected="0">
            <x v="2"/>
          </reference>
        </references>
      </pivotArea>
    </chartFormat>
    <chartFormat chart="13"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615B19-21E6-449A-94C5-DEEE3B0BD164}" name="Region-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B7" firstHeaderRow="1" firstDataRow="1" firstDataCol="1"/>
  <pivotFields count="11">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6">
        <item x="2"/>
        <item x="0"/>
        <item x="1"/>
        <item x="3"/>
        <item x="4"/>
        <item t="default"/>
      </items>
    </pivotField>
    <pivotField showAll="0">
      <items count="5">
        <item x="2"/>
        <item x="0"/>
        <item x="1"/>
        <item x="3"/>
        <item t="default"/>
      </items>
    </pivotField>
    <pivotField showAll="0"/>
    <pivotField showAll="0">
      <items count="8">
        <item x="3"/>
        <item x="4"/>
        <item x="0"/>
        <item x="5"/>
        <item x="2"/>
        <item x="1"/>
        <item x="6"/>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Total_Sales" fld="7" baseField="1" baseItem="0" numFmtId="164"/>
  </dataFields>
  <conditionalFormats count="1">
    <conditionalFormat priority="4">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2">
    <chartFormat chart="33" format="2"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E2D815-3CD2-4778-BBBB-651D9C5D1AB2}" name="Monthly Sales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M1:O7" firstHeaderRow="0" firstDataRow="1" firstDataCol="1"/>
  <pivotFields count="11">
    <pivotField showAll="0">
      <items count="22">
        <item x="0"/>
        <item x="1"/>
        <item x="2"/>
        <item x="3"/>
        <item x="4"/>
        <item x="5"/>
        <item x="6"/>
        <item x="7"/>
        <item x="8"/>
        <item x="9"/>
        <item x="10"/>
        <item x="11"/>
        <item x="12"/>
        <item x="13"/>
        <item x="14"/>
        <item x="15"/>
        <item x="16"/>
        <item x="17"/>
        <item x="18"/>
        <item x="19"/>
        <item x="20"/>
        <item t="default"/>
      </items>
    </pivotField>
    <pivotField showAll="0">
      <items count="6">
        <item x="2"/>
        <item x="0"/>
        <item x="1"/>
        <item x="3"/>
        <item x="4"/>
        <item t="default"/>
      </items>
    </pivotField>
    <pivotField showAll="0">
      <items count="5">
        <item x="2"/>
        <item x="0"/>
        <item x="1"/>
        <item x="3"/>
        <item t="default"/>
      </items>
    </pivotField>
    <pivotField showAll="0"/>
    <pivotField showAll="0">
      <items count="8">
        <item x="3"/>
        <item x="4"/>
        <item x="0"/>
        <item x="5"/>
        <item x="2"/>
        <item x="1"/>
        <item x="6"/>
        <item t="default"/>
      </items>
    </pivotField>
    <pivotField showAll="0"/>
    <pivotField showAll="0"/>
    <pivotField dataField="1" showAll="0"/>
    <pivotField dataField="1" showAll="0"/>
    <pivotField showAll="0"/>
    <pivotField axis="axisRow" showAll="0">
      <items count="15">
        <item h="1" x="0"/>
        <item x="1"/>
        <item x="2"/>
        <item x="3"/>
        <item x="4"/>
        <item x="5"/>
        <item x="6"/>
        <item x="7"/>
        <item x="8"/>
        <item x="9"/>
        <item x="10"/>
        <item x="11"/>
        <item x="12"/>
        <item x="13"/>
        <item t="default"/>
      </items>
    </pivotField>
  </pivotFields>
  <rowFields count="1">
    <field x="10"/>
  </rowFields>
  <rowItems count="6">
    <i>
      <x v="1"/>
    </i>
    <i>
      <x v="2"/>
    </i>
    <i>
      <x v="3"/>
    </i>
    <i>
      <x v="4"/>
    </i>
    <i>
      <x v="5"/>
    </i>
    <i t="grand">
      <x/>
    </i>
  </rowItems>
  <colFields count="1">
    <field x="-2"/>
  </colFields>
  <colItems count="2">
    <i>
      <x/>
    </i>
    <i i="1">
      <x v="1"/>
    </i>
  </colItems>
  <dataFields count="2">
    <dataField name="Total_Sales" fld="7" baseField="0" baseItem="0" numFmtId="164"/>
    <dataField name="Target_Sales" fld="8" baseField="10" baseItem="4" numFmtId="164"/>
  </dataFields>
  <conditionalFormats count="1">
    <conditionalFormat priority="2">
      <pivotAreas count="1">
        <pivotArea type="data" collapsedLevelsAreSubtotals="1" fieldPosition="0">
          <references count="2">
            <reference field="4294967294" count="1" selected="0">
              <x v="0"/>
            </reference>
            <reference field="10" count="5">
              <x v="1"/>
              <x v="2"/>
              <x v="3"/>
              <x v="4"/>
              <x v="5"/>
            </reference>
          </references>
        </pivotArea>
      </pivotAreas>
    </conditionalFormat>
  </conditionalFormats>
  <chartFormats count="7">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0"/>
          </reference>
          <reference field="10" count="1" selected="0">
            <x v="1"/>
          </reference>
        </references>
      </pivotArea>
    </chartFormat>
    <chartFormat chart="17" format="7">
      <pivotArea type="data" outline="0" fieldPosition="0">
        <references count="2">
          <reference field="4294967294" count="1" selected="0">
            <x v="0"/>
          </reference>
          <reference field="10" count="1" selected="0">
            <x v="2"/>
          </reference>
        </references>
      </pivotArea>
    </chartFormat>
    <chartFormat chart="17" format="8">
      <pivotArea type="data" outline="0" fieldPosition="0">
        <references count="2">
          <reference field="4294967294" count="1" selected="0">
            <x v="0"/>
          </reference>
          <reference field="10" count="1" selected="0">
            <x v="3"/>
          </reference>
        </references>
      </pivotArea>
    </chartFormat>
    <chartFormat chart="17" format="9">
      <pivotArea type="data" outline="0" fieldPosition="0">
        <references count="2">
          <reference field="4294967294" count="1" selected="0">
            <x v="0"/>
          </reference>
          <reference field="10" count="1" selected="0">
            <x v="4"/>
          </reference>
        </references>
      </pivotArea>
    </chartFormat>
    <chartFormat chart="17" format="1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8748FF-FB38-4434-B579-140B6BB44945}" name="Rep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K9" firstHeaderRow="0" firstDataRow="1" firstDataCol="1"/>
  <pivotFields count="11">
    <pivotField showAll="0">
      <items count="22">
        <item x="0"/>
        <item x="1"/>
        <item x="2"/>
        <item x="3"/>
        <item x="4"/>
        <item x="5"/>
        <item x="6"/>
        <item x="7"/>
        <item x="8"/>
        <item x="9"/>
        <item x="10"/>
        <item x="11"/>
        <item x="12"/>
        <item x="13"/>
        <item x="14"/>
        <item x="15"/>
        <item x="16"/>
        <item x="17"/>
        <item x="18"/>
        <item x="19"/>
        <item x="20"/>
        <item t="default"/>
      </items>
    </pivotField>
    <pivotField showAll="0">
      <items count="6">
        <item x="2"/>
        <item x="0"/>
        <item x="1"/>
        <item x="3"/>
        <item x="4"/>
        <item t="default"/>
      </items>
    </pivotField>
    <pivotField showAll="0">
      <items count="5">
        <item x="2"/>
        <item x="0"/>
        <item x="1"/>
        <item x="3"/>
        <item t="default"/>
      </items>
    </pivotField>
    <pivotField showAll="0"/>
    <pivotField axis="axisRow" showAll="0">
      <items count="8">
        <item x="3"/>
        <item x="4"/>
        <item x="0"/>
        <item x="5"/>
        <item x="2"/>
        <item x="1"/>
        <item x="6"/>
        <item t="default"/>
      </items>
    </pivotField>
    <pivotField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Fields count="1">
    <field x="-2"/>
  </colFields>
  <colItems count="2">
    <i>
      <x/>
    </i>
    <i i="1">
      <x v="1"/>
    </i>
  </colItems>
  <dataFields count="2">
    <dataField name="Sum of Total Sales" fld="7" baseField="4" baseItem="0" numFmtId="164"/>
    <dataField name="Sum of Variance" fld="9" baseField="4" baseItem="0" numFmtId="164"/>
  </dataFields>
  <conditionalFormats count="1">
    <conditionalFormat priority="1">
      <pivotAreas count="1">
        <pivotArea type="data" collapsedLevelsAreSubtotals="1" fieldPosition="0">
          <references count="2">
            <reference field="4294967294" count="1" selected="0">
              <x v="1"/>
            </reference>
            <reference field="4"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2C66BB-6C9F-400F-85EF-873141D88C12}" sourceName="Region">
  <pivotTables>
    <pivotTable tabId="3" name="Region-wise Sales"/>
    <pivotTable tabId="3" name="Monthly Sales Trends"/>
    <pivotTable tabId="3" name="Product-wise Sales"/>
    <pivotTable tabId="3" name="Rep Performance"/>
  </pivotTables>
  <data>
    <tabular pivotCacheId="1960557517">
      <items count="5">
        <i x="2" s="1"/>
        <i x="0" s="1"/>
        <i x="1"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128AB48-F1B6-4157-865C-C913B1F3D2FD}" sourceName="Product Category">
  <pivotTables>
    <pivotTable tabId="3" name="Product-wise Sales"/>
    <pivotTable tabId="3" name="Monthly Sales Trends"/>
    <pivotTable tabId="3" name="Region-wise Sales"/>
    <pivotTable tabId="3" name="Rep Performance"/>
  </pivotTables>
  <data>
    <tabular pivotCacheId="1960557517">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87ACFD67-D9BF-43DF-8002-4357C2834F19}" sourceName="Sales Rep">
  <pivotTables>
    <pivotTable tabId="3" name="Rep Performance"/>
    <pivotTable tabId="3" name="Monthly Sales Trends"/>
    <pivotTable tabId="3" name="Product-wise Sales"/>
    <pivotTable tabId="3" name="Region-wise Sales"/>
  </pivotTables>
  <data>
    <tabular pivotCacheId="1960557517">
      <items count="7">
        <i x="3" s="1"/>
        <i x="4" s="1"/>
        <i x="0" s="1"/>
        <i x="5" s="1"/>
        <i x="2" s="1"/>
        <i x="1"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108AD58-7623-4B6C-81A2-F1AA8761EBB0}" cache="Slicer_Region" caption="Region" rowHeight="241300"/>
  <slicer name="Product Category" xr10:uid="{E6B25F4E-888A-4DDA-B5FE-3C9074CCE439}" cache="Slicer_Product_Category" caption="Product Category" rowHeight="241300"/>
  <slicer name="Sales Rep" xr10:uid="{777307E2-71EE-4FE6-8517-991DB04929DA}" cache="Slicer_Sales_Rep" caption="Sales 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A872F1-8712-47D8-B47F-7047F9CA4BC1}" name="SalesData" displayName="SalesData" ref="A1:J21">
  <autoFilter ref="A1:J21" xr:uid="{D4A872F1-8712-47D8-B47F-7047F9CA4BC1}"/>
  <tableColumns count="10">
    <tableColumn id="1" xr3:uid="{00429DFE-5E01-47DD-B288-5AA53340E2E6}" name="Date" totalsRowLabel="Total" dataDxfId="1"/>
    <tableColumn id="2" xr3:uid="{48B7B892-0352-4C1A-95CE-380AC9E9C7D6}" name="Region"/>
    <tableColumn id="3" xr3:uid="{3161716C-F191-4B2B-AF94-A9B68FD6AC0E}" name="Product Category"/>
    <tableColumn id="4" xr3:uid="{791A9347-5C21-435A-BA81-F965296A5354}" name="Product Name"/>
    <tableColumn id="5" xr3:uid="{F8EE1E6B-65E7-483A-A81E-2B3C49EAE6F1}" name="Sales Rep"/>
    <tableColumn id="6" xr3:uid="{F020331C-5ABC-4B5C-B6D6-024A5F02B85F}" name="Units Sold"/>
    <tableColumn id="7" xr3:uid="{923E799B-D04C-4453-9C97-1A8A862884E5}" name="Unit Price"/>
    <tableColumn id="8" xr3:uid="{F632044E-C257-42E2-97C5-DC98C88B4242}" name="Total Sales">
      <calculatedColumnFormula>SalesData[[#This Row],[Units Sold]]*SalesData[[#This Row],[Unit Price]]</calculatedColumnFormula>
    </tableColumn>
    <tableColumn id="9" xr3:uid="{62899CE4-9F3C-47B5-A53B-A89D3A3A691C}" name="Target Sales"/>
    <tableColumn id="10" xr3:uid="{B2D97027-E972-4F1A-BF24-54AA407C5C02}" name="Variance" dataDxfId="0">
      <calculatedColumnFormula>SalesData[[#This Row],[Total Sales]]-SalesData[[#This Row],[Target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80E0-054C-4968-80E1-F18A0EF8471C}">
  <sheetPr>
    <pageSetUpPr fitToPage="1"/>
  </sheetPr>
  <dimension ref="A1:U36"/>
  <sheetViews>
    <sheetView tabSelected="1" zoomScale="115" zoomScaleNormal="115" workbookViewId="0">
      <selection sqref="A1:T2"/>
    </sheetView>
  </sheetViews>
  <sheetFormatPr defaultRowHeight="15"/>
  <cols>
    <col min="3" max="3" width="8.42578125" customWidth="1"/>
    <col min="16" max="16" width="15" customWidth="1"/>
    <col min="17" max="17" width="3.28515625" customWidth="1"/>
  </cols>
  <sheetData>
    <row r="1" spans="1:21" ht="17.100000000000001" customHeight="1">
      <c r="A1" s="22" t="s">
        <v>113</v>
      </c>
      <c r="B1" s="22"/>
      <c r="C1" s="22"/>
      <c r="D1" s="22"/>
      <c r="E1" s="22"/>
      <c r="F1" s="22"/>
      <c r="G1" s="22"/>
      <c r="H1" s="22"/>
      <c r="I1" s="22"/>
      <c r="J1" s="22"/>
      <c r="K1" s="22"/>
      <c r="L1" s="22"/>
      <c r="M1" s="22"/>
      <c r="N1" s="22"/>
      <c r="O1" s="22"/>
      <c r="P1" s="22"/>
      <c r="Q1" s="22"/>
      <c r="R1" s="22"/>
      <c r="S1" s="22"/>
      <c r="T1" s="22"/>
    </row>
    <row r="2" spans="1:21">
      <c r="A2" s="22"/>
      <c r="B2" s="22"/>
      <c r="C2" s="22"/>
      <c r="D2" s="22"/>
      <c r="E2" s="22"/>
      <c r="F2" s="22"/>
      <c r="G2" s="22"/>
      <c r="H2" s="22"/>
      <c r="I2" s="22"/>
      <c r="J2" s="22"/>
      <c r="K2" s="22"/>
      <c r="L2" s="22"/>
      <c r="M2" s="22"/>
      <c r="N2" s="22"/>
      <c r="O2" s="22"/>
      <c r="P2" s="22"/>
      <c r="Q2" s="22"/>
      <c r="R2" s="22"/>
      <c r="S2" s="22"/>
      <c r="T2" s="22"/>
    </row>
    <row r="3" spans="1:21">
      <c r="D3" s="16">
        <f>SUM(SalesData!H:H)</f>
        <v>27070</v>
      </c>
      <c r="E3" s="16"/>
      <c r="F3" s="16"/>
      <c r="K3" s="18">
        <f>AVERAGE(SalesData!H:H)</f>
        <v>1353.5</v>
      </c>
      <c r="L3" s="18"/>
      <c r="M3" s="18"/>
      <c r="R3" s="20" t="str">
        <f>INDEX(SalesData!B:B,MATCH(MAX(SalesData!H:H),SalesData!H:H,0))</f>
        <v>North</v>
      </c>
      <c r="S3" s="20"/>
      <c r="T3" s="20"/>
      <c r="U3" s="11"/>
    </row>
    <row r="4" spans="1:21" ht="14.45" customHeight="1">
      <c r="D4" s="17"/>
      <c r="E4" s="17"/>
      <c r="F4" s="17"/>
      <c r="K4" s="19"/>
      <c r="L4" s="19"/>
      <c r="M4" s="19"/>
      <c r="R4" s="21"/>
      <c r="S4" s="21"/>
      <c r="T4" s="21"/>
      <c r="U4" s="11"/>
    </row>
    <row r="5" spans="1:21" ht="15.95" customHeight="1">
      <c r="D5" s="17"/>
      <c r="E5" s="17"/>
      <c r="F5" s="17"/>
      <c r="K5" s="19"/>
      <c r="L5" s="19"/>
      <c r="M5" s="19"/>
      <c r="N5" s="14"/>
      <c r="O5" s="14"/>
      <c r="P5" s="14"/>
      <c r="R5" s="21"/>
      <c r="S5" s="21"/>
      <c r="T5" s="21"/>
      <c r="U5" s="11"/>
    </row>
    <row r="6" spans="1:21" ht="14.45" customHeight="1">
      <c r="A6" s="11"/>
      <c r="B6" s="11"/>
      <c r="C6" s="11"/>
      <c r="D6" s="11"/>
      <c r="E6" s="11"/>
      <c r="F6" s="11"/>
      <c r="G6" s="11"/>
      <c r="H6" s="11"/>
      <c r="I6" s="11"/>
      <c r="J6" s="11"/>
      <c r="N6" s="11"/>
      <c r="O6" s="11"/>
      <c r="P6" s="11"/>
      <c r="T6" s="11"/>
      <c r="U6" s="11"/>
    </row>
    <row r="7" spans="1:21" ht="14.45" customHeight="1">
      <c r="A7" s="11"/>
      <c r="B7" s="11"/>
      <c r="C7" s="11"/>
      <c r="D7" s="11"/>
      <c r="E7" s="11"/>
      <c r="F7" s="11"/>
      <c r="G7" s="11"/>
      <c r="H7" s="11"/>
      <c r="I7" s="11"/>
      <c r="J7" s="11"/>
      <c r="K7" s="11"/>
      <c r="L7" s="11"/>
      <c r="M7" s="11"/>
      <c r="N7" s="11"/>
      <c r="O7" s="11"/>
      <c r="P7" s="11"/>
      <c r="Q7" s="11"/>
      <c r="R7" s="11"/>
      <c r="S7" s="11"/>
      <c r="T7" s="11"/>
      <c r="U7" s="11"/>
    </row>
    <row r="8" spans="1:21" ht="14.45" customHeight="1">
      <c r="A8" s="11"/>
      <c r="B8" s="11"/>
      <c r="C8" s="11"/>
      <c r="D8" s="11"/>
      <c r="E8" s="11"/>
      <c r="F8" s="11"/>
      <c r="G8" s="11"/>
      <c r="H8" s="11"/>
      <c r="I8" s="11"/>
      <c r="J8" s="11"/>
      <c r="K8" s="11"/>
      <c r="L8" s="11"/>
      <c r="M8" s="11"/>
      <c r="N8" s="11"/>
      <c r="O8" s="11"/>
      <c r="P8" s="11"/>
      <c r="Q8" s="11"/>
      <c r="R8" s="11"/>
      <c r="S8" s="11"/>
      <c r="T8" s="11"/>
      <c r="U8" s="11"/>
    </row>
    <row r="9" spans="1:21" ht="14.45" customHeight="1">
      <c r="A9" s="11"/>
      <c r="B9" s="11"/>
      <c r="C9" s="11"/>
      <c r="D9" s="11"/>
      <c r="E9" s="11"/>
      <c r="F9" s="11"/>
      <c r="G9" s="11"/>
      <c r="H9" s="11"/>
      <c r="I9" s="11"/>
      <c r="J9" s="11"/>
      <c r="K9" s="11"/>
      <c r="L9" s="11"/>
      <c r="M9" s="11"/>
      <c r="N9" s="11"/>
      <c r="O9" s="11"/>
      <c r="P9" s="11"/>
      <c r="Q9" s="11"/>
      <c r="R9" s="11"/>
      <c r="S9" s="11"/>
      <c r="T9" s="11"/>
      <c r="U9" s="11"/>
    </row>
    <row r="10" spans="1:21" ht="14.45" customHeight="1">
      <c r="A10" s="11"/>
      <c r="B10" s="11"/>
      <c r="C10" s="11"/>
      <c r="D10" s="11"/>
      <c r="E10" s="11"/>
      <c r="F10" s="11"/>
      <c r="G10" s="11"/>
      <c r="H10" s="11"/>
      <c r="I10" s="11"/>
      <c r="J10" s="11"/>
      <c r="K10" s="11"/>
      <c r="L10" s="11"/>
      <c r="M10" s="11"/>
      <c r="N10" s="15"/>
      <c r="O10" s="15"/>
      <c r="P10" s="15"/>
      <c r="Q10" s="11"/>
      <c r="R10" s="11"/>
      <c r="S10" s="11"/>
      <c r="T10" s="11"/>
      <c r="U10" s="11"/>
    </row>
    <row r="11" spans="1:21" ht="14.45" customHeight="1">
      <c r="A11" s="11"/>
      <c r="B11" s="11"/>
      <c r="C11" s="11"/>
      <c r="D11" s="11"/>
      <c r="E11" s="11"/>
      <c r="F11" s="11"/>
      <c r="G11" s="11"/>
      <c r="H11" s="11"/>
      <c r="I11" s="11"/>
      <c r="J11" s="11"/>
      <c r="K11" s="11"/>
      <c r="L11" s="11"/>
      <c r="M11" s="11"/>
      <c r="N11" s="11"/>
      <c r="O11" s="11"/>
      <c r="P11" s="11"/>
      <c r="Q11" s="11"/>
      <c r="R11" s="11"/>
      <c r="S11" s="11"/>
      <c r="T11" s="11"/>
      <c r="U11" s="11"/>
    </row>
    <row r="12" spans="1:21" ht="14.45" customHeight="1">
      <c r="A12" s="11"/>
      <c r="B12" s="11"/>
      <c r="C12" s="11"/>
      <c r="D12" s="11"/>
      <c r="E12" s="11"/>
      <c r="F12" s="11"/>
      <c r="G12" s="11"/>
      <c r="H12" s="11"/>
      <c r="I12" s="11"/>
      <c r="J12" s="11"/>
      <c r="K12" s="11"/>
      <c r="L12" s="11"/>
      <c r="M12" s="11"/>
      <c r="N12" s="11"/>
      <c r="O12" s="11"/>
      <c r="P12" s="11"/>
      <c r="Q12" s="11"/>
      <c r="R12" s="11"/>
      <c r="S12" s="11"/>
      <c r="T12" s="11"/>
      <c r="U12" s="11"/>
    </row>
    <row r="13" spans="1:21" ht="14.45" customHeight="1">
      <c r="A13" s="11"/>
      <c r="B13" s="11"/>
      <c r="C13" s="11"/>
      <c r="D13" s="11"/>
      <c r="E13" s="11"/>
      <c r="F13" s="11"/>
      <c r="G13" s="11"/>
      <c r="H13" s="11"/>
      <c r="I13" s="11"/>
      <c r="J13" s="11"/>
      <c r="K13" s="11"/>
      <c r="L13" s="11"/>
      <c r="M13" s="11"/>
      <c r="N13" s="11"/>
      <c r="O13" s="11"/>
      <c r="P13" s="11"/>
      <c r="Q13" s="11"/>
      <c r="R13" s="11"/>
      <c r="S13" s="11"/>
      <c r="T13" s="11"/>
      <c r="U13" s="11"/>
    </row>
    <row r="14" spans="1:21">
      <c r="A14" s="11"/>
      <c r="B14" s="11"/>
      <c r="C14" s="11"/>
      <c r="D14" s="11"/>
      <c r="E14" s="11"/>
      <c r="F14" s="11"/>
      <c r="G14" s="11"/>
      <c r="H14" s="11"/>
      <c r="I14" s="11"/>
      <c r="J14" s="11"/>
      <c r="K14" s="11"/>
      <c r="L14" s="11"/>
      <c r="M14" s="11"/>
      <c r="N14" s="11"/>
      <c r="O14" s="11"/>
      <c r="P14" s="11"/>
      <c r="Q14" s="11"/>
      <c r="R14" s="11"/>
      <c r="S14" s="11"/>
      <c r="T14" s="11"/>
      <c r="U14" s="11"/>
    </row>
    <row r="15" spans="1:21">
      <c r="A15" s="11"/>
      <c r="B15" s="11"/>
      <c r="C15" s="11"/>
      <c r="D15" s="11"/>
      <c r="E15" s="11"/>
      <c r="F15" s="11"/>
      <c r="G15" s="11"/>
      <c r="H15" s="11"/>
      <c r="I15" s="11"/>
      <c r="J15" s="11"/>
      <c r="K15" s="11"/>
      <c r="L15" s="11"/>
      <c r="M15" s="11"/>
      <c r="N15" s="11"/>
      <c r="O15" s="11"/>
      <c r="P15" s="11"/>
      <c r="Q15" s="11"/>
      <c r="R15" s="11"/>
      <c r="S15" s="11"/>
      <c r="T15" s="11"/>
      <c r="U15" s="11"/>
    </row>
    <row r="16" spans="1:21" ht="14.45" customHeight="1">
      <c r="A16" s="11"/>
      <c r="B16" s="11"/>
      <c r="C16" s="11"/>
      <c r="D16" s="11"/>
      <c r="E16" s="11"/>
      <c r="F16" s="11"/>
      <c r="G16" s="11"/>
      <c r="H16" s="11"/>
      <c r="I16" s="11"/>
      <c r="J16" s="11"/>
      <c r="K16" s="11"/>
      <c r="L16" s="11"/>
      <c r="M16" s="11"/>
      <c r="N16" s="11"/>
      <c r="O16" s="11"/>
      <c r="P16" s="11"/>
      <c r="Q16" s="11"/>
      <c r="R16" s="11"/>
      <c r="S16" s="11"/>
      <c r="T16" s="11"/>
      <c r="U16" s="11"/>
    </row>
    <row r="17" spans="1:21" ht="14.45" customHeight="1">
      <c r="A17" s="11"/>
      <c r="B17" s="11"/>
      <c r="C17" s="11"/>
      <c r="D17" s="11"/>
      <c r="E17" s="11"/>
      <c r="F17" s="11"/>
      <c r="G17" s="11"/>
      <c r="H17" s="11"/>
      <c r="I17" s="11"/>
      <c r="J17" s="11"/>
      <c r="K17" s="11"/>
      <c r="L17" s="11"/>
      <c r="M17" s="11"/>
      <c r="N17" s="11"/>
      <c r="O17" s="11"/>
      <c r="P17" s="11"/>
      <c r="Q17" s="11"/>
      <c r="R17" s="11"/>
      <c r="S17" s="11"/>
      <c r="T17" s="11"/>
      <c r="U17" s="11"/>
    </row>
    <row r="18" spans="1:21" ht="14.45" customHeight="1">
      <c r="A18" s="11"/>
      <c r="B18" s="11"/>
      <c r="C18" s="11"/>
      <c r="D18" s="11"/>
      <c r="E18" s="11"/>
      <c r="F18" s="11"/>
      <c r="G18" s="11"/>
      <c r="H18" s="11"/>
      <c r="I18" s="11"/>
      <c r="J18" s="11"/>
      <c r="K18" s="11"/>
      <c r="L18" s="11"/>
      <c r="M18" s="11"/>
      <c r="N18" s="11"/>
      <c r="O18" s="11"/>
      <c r="P18" s="11"/>
      <c r="Q18" s="11"/>
      <c r="R18" s="11"/>
      <c r="S18" s="11"/>
      <c r="T18" s="11"/>
      <c r="U18" s="11"/>
    </row>
    <row r="19" spans="1:21" ht="14.45" customHeight="1">
      <c r="A19" s="11"/>
      <c r="B19" s="11"/>
      <c r="C19" s="11"/>
      <c r="D19" s="11"/>
      <c r="E19" s="11"/>
      <c r="F19" s="11"/>
      <c r="G19" s="11"/>
      <c r="H19" s="11"/>
      <c r="I19" s="11"/>
      <c r="J19" s="11"/>
      <c r="K19" s="11"/>
      <c r="L19" s="11"/>
      <c r="M19" s="11"/>
      <c r="N19" s="11"/>
      <c r="O19" s="11"/>
      <c r="P19" s="11"/>
      <c r="Q19" s="11"/>
      <c r="R19" s="11"/>
      <c r="S19" s="11"/>
      <c r="T19" s="11"/>
      <c r="U19" s="11"/>
    </row>
    <row r="20" spans="1:21">
      <c r="A20" s="11"/>
      <c r="B20" s="11"/>
      <c r="C20" s="11"/>
      <c r="D20" s="11"/>
      <c r="E20" s="11"/>
      <c r="F20" s="11"/>
      <c r="G20" s="11"/>
      <c r="H20" s="11"/>
      <c r="I20" s="11"/>
      <c r="J20" s="11"/>
      <c r="K20" s="11"/>
      <c r="L20" s="11"/>
      <c r="M20" s="11"/>
      <c r="N20" s="11"/>
      <c r="O20" s="11"/>
      <c r="P20" s="11"/>
      <c r="Q20" s="11"/>
      <c r="R20" s="11"/>
      <c r="S20" s="11"/>
      <c r="T20" s="11"/>
      <c r="U20" s="11"/>
    </row>
    <row r="21" spans="1:21">
      <c r="A21" s="11"/>
      <c r="B21" s="11"/>
      <c r="C21" s="11"/>
      <c r="D21" s="11"/>
      <c r="E21" s="11"/>
      <c r="F21" s="11"/>
      <c r="G21" s="11"/>
      <c r="H21" s="11"/>
      <c r="I21" s="11"/>
      <c r="J21" s="11"/>
      <c r="K21" s="11"/>
      <c r="L21" s="11"/>
      <c r="M21" s="11"/>
      <c r="N21" s="11"/>
      <c r="O21" s="11"/>
      <c r="P21" s="11"/>
      <c r="Q21" s="11"/>
      <c r="R21" s="11"/>
      <c r="S21" s="11"/>
      <c r="T21" s="11"/>
      <c r="U21" s="11"/>
    </row>
    <row r="22" spans="1:21">
      <c r="A22" s="11"/>
      <c r="B22" s="11"/>
      <c r="C22" s="11"/>
      <c r="D22" s="11"/>
      <c r="E22" s="11"/>
      <c r="F22" s="11"/>
      <c r="G22" s="11"/>
      <c r="H22" s="11"/>
      <c r="I22" s="11"/>
      <c r="J22" s="11"/>
      <c r="K22" s="11"/>
      <c r="L22" s="11"/>
      <c r="M22" s="11"/>
      <c r="N22" s="11"/>
      <c r="O22" s="11"/>
      <c r="P22" s="11"/>
      <c r="Q22" s="11"/>
      <c r="R22" s="11"/>
      <c r="S22" s="11"/>
      <c r="T22" s="11"/>
      <c r="U22" s="11"/>
    </row>
    <row r="23" spans="1:21">
      <c r="A23" s="11"/>
      <c r="B23" s="11"/>
      <c r="C23" s="11"/>
      <c r="D23" s="11"/>
      <c r="E23" s="11"/>
      <c r="F23" s="11"/>
      <c r="G23" s="11"/>
      <c r="H23" s="11"/>
      <c r="I23" s="11"/>
      <c r="J23" s="11"/>
      <c r="K23" s="11"/>
      <c r="L23" s="11"/>
      <c r="M23" s="11"/>
      <c r="N23" s="11"/>
      <c r="O23" s="11"/>
      <c r="P23" s="11"/>
      <c r="Q23" s="11"/>
      <c r="R23" s="11"/>
      <c r="S23" s="11"/>
      <c r="T23" s="11"/>
      <c r="U23" s="11"/>
    </row>
    <row r="24" spans="1:21">
      <c r="A24" s="11"/>
      <c r="B24" s="11"/>
      <c r="C24" s="11"/>
      <c r="D24" s="11"/>
      <c r="E24" s="11"/>
      <c r="F24" s="11"/>
      <c r="G24" s="11"/>
      <c r="H24" s="11"/>
      <c r="I24" s="11"/>
      <c r="J24" s="11"/>
      <c r="K24" s="11"/>
      <c r="L24" s="11"/>
      <c r="M24" s="11"/>
      <c r="N24" s="11"/>
      <c r="O24" s="11"/>
      <c r="P24" s="11"/>
      <c r="Q24" s="11"/>
      <c r="R24" s="11"/>
      <c r="S24" s="11"/>
      <c r="T24" s="11"/>
      <c r="U24" s="11"/>
    </row>
    <row r="25" spans="1:21">
      <c r="A25" s="11"/>
      <c r="B25" s="11"/>
      <c r="C25" s="11"/>
      <c r="D25" s="11"/>
      <c r="E25" s="11"/>
      <c r="F25" s="11"/>
      <c r="G25" s="11"/>
      <c r="H25" s="11"/>
      <c r="I25" s="11"/>
      <c r="J25" s="11"/>
      <c r="K25" s="11"/>
      <c r="L25" s="11"/>
      <c r="M25" s="11"/>
      <c r="N25" s="11"/>
      <c r="O25" s="11"/>
      <c r="P25" s="11"/>
      <c r="Q25" s="11"/>
      <c r="R25" s="11"/>
      <c r="S25" s="11"/>
      <c r="T25" s="11"/>
      <c r="U25" s="11"/>
    </row>
    <row r="26" spans="1:21">
      <c r="A26" s="11"/>
      <c r="B26" s="11"/>
      <c r="C26" s="11"/>
      <c r="D26" s="11"/>
      <c r="E26" s="11"/>
      <c r="F26" s="11"/>
      <c r="G26" s="11"/>
      <c r="H26" s="11"/>
      <c r="I26" s="11"/>
      <c r="J26" s="11"/>
      <c r="K26" s="11"/>
      <c r="L26" s="11"/>
      <c r="M26" s="11"/>
      <c r="N26" s="11"/>
      <c r="O26" s="11"/>
      <c r="P26" s="11"/>
      <c r="Q26" s="11"/>
      <c r="R26" s="11"/>
      <c r="S26" s="11"/>
      <c r="T26" s="11"/>
      <c r="U26" s="11"/>
    </row>
    <row r="27" spans="1:21">
      <c r="A27" s="11"/>
      <c r="B27" s="11"/>
      <c r="C27" s="11"/>
      <c r="D27" s="11"/>
      <c r="E27" s="11"/>
      <c r="F27" s="11"/>
      <c r="G27" s="11"/>
      <c r="H27" s="11"/>
      <c r="I27" s="11"/>
      <c r="J27" s="11"/>
      <c r="K27" s="11"/>
      <c r="L27" s="11"/>
      <c r="M27" s="11"/>
      <c r="N27" s="11"/>
      <c r="O27" s="11"/>
      <c r="P27" s="11"/>
      <c r="Q27" s="11"/>
      <c r="R27" s="11"/>
      <c r="S27" s="11"/>
      <c r="T27" s="11"/>
      <c r="U27" s="11"/>
    </row>
    <row r="28" spans="1:21">
      <c r="A28" s="11"/>
      <c r="B28" s="11"/>
      <c r="C28" s="11"/>
      <c r="D28" s="11"/>
      <c r="E28" s="11"/>
      <c r="F28" s="11"/>
      <c r="G28" s="11"/>
      <c r="H28" s="11"/>
      <c r="I28" s="11"/>
      <c r="J28" s="11"/>
      <c r="K28" s="11"/>
      <c r="L28" s="11"/>
      <c r="M28" s="11"/>
      <c r="N28" s="11"/>
      <c r="O28" s="11"/>
      <c r="P28" s="11"/>
      <c r="Q28" s="11"/>
      <c r="R28" s="11"/>
      <c r="S28" s="11"/>
      <c r="T28" s="11"/>
      <c r="U28" s="11"/>
    </row>
    <row r="29" spans="1:21">
      <c r="A29" s="11"/>
      <c r="B29" s="11"/>
      <c r="C29" s="11"/>
      <c r="D29" s="11"/>
      <c r="E29" s="11"/>
      <c r="F29" s="11"/>
      <c r="G29" s="11"/>
      <c r="H29" s="11"/>
      <c r="I29" s="11"/>
      <c r="J29" s="11"/>
      <c r="K29" s="11"/>
      <c r="L29" s="11"/>
      <c r="M29" s="11"/>
      <c r="N29" s="11"/>
      <c r="O29" s="11"/>
      <c r="P29" s="11"/>
      <c r="Q29" s="11"/>
      <c r="R29" s="11"/>
      <c r="S29" s="11"/>
      <c r="T29" s="11"/>
      <c r="U29" s="11"/>
    </row>
    <row r="30" spans="1:21">
      <c r="A30" s="11"/>
      <c r="B30" s="11"/>
      <c r="C30" s="11"/>
      <c r="D30" s="11"/>
      <c r="E30" s="11"/>
      <c r="F30" s="11"/>
      <c r="G30" s="11"/>
      <c r="H30" s="11"/>
      <c r="I30" s="11"/>
      <c r="J30" s="11"/>
      <c r="K30" s="11"/>
      <c r="L30" s="11"/>
      <c r="M30" s="11"/>
      <c r="N30" s="11"/>
      <c r="O30" s="11"/>
      <c r="P30" s="11"/>
      <c r="Q30" s="11"/>
      <c r="R30" s="11"/>
      <c r="S30" s="11"/>
      <c r="T30" s="11"/>
      <c r="U30" s="11"/>
    </row>
    <row r="31" spans="1:21">
      <c r="A31" s="11"/>
      <c r="B31" s="11"/>
      <c r="C31" s="11"/>
      <c r="D31" s="11"/>
      <c r="E31" s="11"/>
      <c r="F31" s="11"/>
      <c r="G31" s="11"/>
      <c r="H31" s="11"/>
      <c r="I31" s="11"/>
      <c r="J31" s="11"/>
      <c r="K31" s="11"/>
      <c r="L31" s="11"/>
      <c r="M31" s="11"/>
      <c r="N31" s="11"/>
      <c r="O31" s="11"/>
      <c r="P31" s="11"/>
      <c r="Q31" s="11"/>
      <c r="R31" s="11"/>
      <c r="S31" s="11"/>
      <c r="T31" s="11"/>
      <c r="U31" s="11"/>
    </row>
    <row r="32" spans="1:21">
      <c r="A32" s="11"/>
      <c r="B32" s="11"/>
      <c r="C32" s="11"/>
      <c r="D32" s="11"/>
      <c r="E32" s="11"/>
      <c r="F32" s="11"/>
      <c r="G32" s="11"/>
      <c r="H32" s="11"/>
      <c r="I32" s="11"/>
      <c r="J32" s="11"/>
      <c r="K32" s="11"/>
      <c r="L32" s="11"/>
      <c r="M32" s="11"/>
      <c r="N32" s="11"/>
      <c r="O32" s="11"/>
      <c r="P32" s="11"/>
      <c r="Q32" s="11"/>
      <c r="R32" s="11"/>
      <c r="S32" s="11"/>
      <c r="T32" s="11"/>
      <c r="U32" s="11"/>
    </row>
    <row r="33" spans="1:21">
      <c r="A33" s="11"/>
      <c r="B33" s="11"/>
      <c r="C33" s="11"/>
      <c r="D33" s="11"/>
      <c r="E33" s="11"/>
      <c r="F33" s="11"/>
      <c r="G33" s="11"/>
      <c r="H33" s="11"/>
      <c r="I33" s="11"/>
      <c r="J33" s="11"/>
      <c r="K33" s="11"/>
      <c r="L33" s="11"/>
      <c r="M33" s="11"/>
      <c r="N33" s="11"/>
      <c r="O33" s="11"/>
      <c r="P33" s="11"/>
      <c r="Q33" s="11"/>
      <c r="R33" s="11"/>
      <c r="S33" s="11"/>
      <c r="T33" s="11"/>
      <c r="U33" s="11"/>
    </row>
    <row r="34" spans="1:21">
      <c r="A34" s="11"/>
      <c r="B34" s="11"/>
      <c r="C34" s="11"/>
      <c r="D34" s="11"/>
      <c r="E34" s="11"/>
      <c r="F34" s="11"/>
      <c r="G34" s="11"/>
      <c r="H34" s="11"/>
      <c r="I34" s="11"/>
      <c r="J34" s="11"/>
      <c r="K34" s="11"/>
      <c r="L34" s="11"/>
      <c r="M34" s="11"/>
      <c r="N34" s="11"/>
      <c r="O34" s="11"/>
      <c r="P34" s="11"/>
      <c r="Q34" s="11"/>
      <c r="R34" s="11"/>
      <c r="S34" s="11"/>
      <c r="T34" s="11"/>
      <c r="U34" s="11"/>
    </row>
    <row r="35" spans="1:21">
      <c r="A35" s="11"/>
      <c r="B35" s="11"/>
      <c r="C35" s="11"/>
      <c r="D35" s="11"/>
      <c r="E35" s="11"/>
      <c r="F35" s="11"/>
      <c r="G35" s="11"/>
      <c r="H35" s="11"/>
      <c r="I35" s="11"/>
      <c r="J35" s="11"/>
      <c r="K35" s="11"/>
      <c r="L35" s="11"/>
      <c r="M35" s="11"/>
      <c r="N35" s="11"/>
      <c r="O35" s="11"/>
      <c r="P35" s="11"/>
      <c r="Q35" s="11"/>
      <c r="R35" s="11"/>
      <c r="S35" s="11"/>
      <c r="T35" s="11"/>
      <c r="U35" s="11"/>
    </row>
    <row r="36" spans="1:21">
      <c r="R36" s="11"/>
      <c r="S36" s="11"/>
      <c r="T36" s="11"/>
      <c r="U36" s="11"/>
    </row>
  </sheetData>
  <sheetProtection algorithmName="SHA-512" hashValue="ENa804tQfbnxsnR3GOIn5Gujd979j26i6qpwrMUSvdIw3p9mp83XUeUvvV5H73ixSQCKTPHmq+Y99UryJ4wNEA==" saltValue="iQX5bUpaKvZXFd4/ECt4eA==" spinCount="100000" sheet="1" objects="1" scenarios="1" selectLockedCells="1" pivotTables="0" selectUnlockedCells="1"/>
  <mergeCells count="4">
    <mergeCell ref="D3:F5"/>
    <mergeCell ref="K3:M5"/>
    <mergeCell ref="R3:T5"/>
    <mergeCell ref="A1:T2"/>
  </mergeCells>
  <pageMargins left="0.25" right="0.25" top="0.75" bottom="0.75" header="0.3" footer="0.3"/>
  <pageSetup paperSize="5" scale="8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zoomScale="120" zoomScaleNormal="120" workbookViewId="0">
      <pane ySplit="1" topLeftCell="A2" activePane="bottomLeft" state="frozen"/>
      <selection pane="bottomLeft" activeCell="H1" sqref="H1:H1048576"/>
    </sheetView>
  </sheetViews>
  <sheetFormatPr defaultRowHeight="15"/>
  <cols>
    <col min="1" max="1" width="10.7109375" customWidth="1"/>
    <col min="2" max="2" width="8.85546875" bestFit="1" customWidth="1"/>
    <col min="3" max="3" width="18.140625" bestFit="1" customWidth="1"/>
    <col min="4" max="4" width="15.5703125" bestFit="1" customWidth="1"/>
    <col min="5" max="5" width="13" bestFit="1" customWidth="1"/>
    <col min="6" max="6" width="11.5703125" bestFit="1" customWidth="1"/>
    <col min="7" max="7" width="11.28515625" bestFit="1" customWidth="1"/>
    <col min="8" max="8" width="12.140625" customWidth="1"/>
    <col min="9" max="9" width="13.140625" bestFit="1" customWidth="1"/>
    <col min="10" max="10" width="10.42578125" bestFit="1" customWidth="1"/>
  </cols>
  <sheetData>
    <row r="1" spans="1:10">
      <c r="A1" t="s">
        <v>12</v>
      </c>
      <c r="B1" t="s">
        <v>13</v>
      </c>
      <c r="C1" t="s">
        <v>14</v>
      </c>
      <c r="D1" t="s">
        <v>15</v>
      </c>
      <c r="E1" t="s">
        <v>16</v>
      </c>
      <c r="F1" t="s">
        <v>17</v>
      </c>
      <c r="G1" t="s">
        <v>18</v>
      </c>
      <c r="H1" t="s">
        <v>53</v>
      </c>
      <c r="I1" t="s">
        <v>19</v>
      </c>
      <c r="J1" t="s">
        <v>54</v>
      </c>
    </row>
    <row r="2" spans="1:10">
      <c r="A2" s="3">
        <v>45296</v>
      </c>
      <c r="B2" t="s">
        <v>20</v>
      </c>
      <c r="C2" t="s">
        <v>21</v>
      </c>
      <c r="D2" t="s">
        <v>22</v>
      </c>
      <c r="E2" t="s">
        <v>23</v>
      </c>
      <c r="F2">
        <v>10</v>
      </c>
      <c r="G2">
        <v>800</v>
      </c>
      <c r="H2">
        <f>SalesData[[#This Row],[Units Sold]]*SalesData[[#This Row],[Unit Price]]</f>
        <v>8000</v>
      </c>
      <c r="I2">
        <v>8500</v>
      </c>
      <c r="J2">
        <f>SalesData[[#This Row],[Total Sales]]-SalesData[[#This Row],[Target Sales]]</f>
        <v>-500</v>
      </c>
    </row>
    <row r="3" spans="1:10">
      <c r="A3" s="3">
        <v>45301</v>
      </c>
      <c r="B3" t="s">
        <v>24</v>
      </c>
      <c r="C3" t="s">
        <v>25</v>
      </c>
      <c r="D3" t="s">
        <v>26</v>
      </c>
      <c r="E3" t="s">
        <v>27</v>
      </c>
      <c r="F3">
        <v>5</v>
      </c>
      <c r="G3">
        <v>120</v>
      </c>
      <c r="H3">
        <f>SalesData[[#This Row],[Units Sold]]*SalesData[[#This Row],[Unit Price]]</f>
        <v>600</v>
      </c>
      <c r="I3">
        <v>700</v>
      </c>
      <c r="J3">
        <f>SalesData[[#This Row],[Total Sales]]-SalesData[[#This Row],[Target Sales]]</f>
        <v>-100</v>
      </c>
    </row>
    <row r="4" spans="1:10">
      <c r="A4" s="3">
        <v>45306</v>
      </c>
      <c r="B4" t="s">
        <v>28</v>
      </c>
      <c r="C4" t="s">
        <v>29</v>
      </c>
      <c r="D4" t="s">
        <v>30</v>
      </c>
      <c r="E4" t="s">
        <v>31</v>
      </c>
      <c r="F4">
        <v>20</v>
      </c>
      <c r="G4">
        <v>15</v>
      </c>
      <c r="H4">
        <f>SalesData[[#This Row],[Units Sold]]*SalesData[[#This Row],[Unit Price]]</f>
        <v>300</v>
      </c>
      <c r="I4">
        <v>320</v>
      </c>
      <c r="J4">
        <f>SalesData[[#This Row],[Total Sales]]-SalesData[[#This Row],[Target Sales]]</f>
        <v>-20</v>
      </c>
    </row>
    <row r="5" spans="1:10">
      <c r="A5" s="3">
        <v>45311</v>
      </c>
      <c r="B5" t="s">
        <v>32</v>
      </c>
      <c r="C5" t="s">
        <v>21</v>
      </c>
      <c r="D5" t="s">
        <v>33</v>
      </c>
      <c r="E5" t="s">
        <v>34</v>
      </c>
      <c r="F5">
        <v>7</v>
      </c>
      <c r="G5">
        <v>600</v>
      </c>
      <c r="H5">
        <f>SalesData[[#This Row],[Units Sold]]*SalesData[[#This Row],[Unit Price]]</f>
        <v>4200</v>
      </c>
      <c r="I5">
        <v>4000</v>
      </c>
      <c r="J5">
        <f>SalesData[[#This Row],[Total Sales]]-SalesData[[#This Row],[Target Sales]]</f>
        <v>200</v>
      </c>
    </row>
    <row r="6" spans="1:10">
      <c r="A6" s="3">
        <v>45323</v>
      </c>
      <c r="B6" t="s">
        <v>20</v>
      </c>
      <c r="C6" t="s">
        <v>25</v>
      </c>
      <c r="D6" t="s">
        <v>35</v>
      </c>
      <c r="E6" t="s">
        <v>36</v>
      </c>
      <c r="F6">
        <v>3</v>
      </c>
      <c r="G6">
        <v>250</v>
      </c>
      <c r="H6">
        <f>SalesData[[#This Row],[Units Sold]]*SalesData[[#This Row],[Unit Price]]</f>
        <v>750</v>
      </c>
      <c r="I6">
        <v>900</v>
      </c>
      <c r="J6">
        <f>SalesData[[#This Row],[Total Sales]]-SalesData[[#This Row],[Target Sales]]</f>
        <v>-150</v>
      </c>
    </row>
    <row r="7" spans="1:10">
      <c r="A7" s="3">
        <v>45327</v>
      </c>
      <c r="B7" t="s">
        <v>24</v>
      </c>
      <c r="C7" t="s">
        <v>29</v>
      </c>
      <c r="D7" t="s">
        <v>37</v>
      </c>
      <c r="E7" t="s">
        <v>38</v>
      </c>
      <c r="F7">
        <v>10</v>
      </c>
      <c r="G7">
        <v>60</v>
      </c>
      <c r="H7">
        <f>SalesData[[#This Row],[Units Sold]]*SalesData[[#This Row],[Unit Price]]</f>
        <v>600</v>
      </c>
      <c r="I7">
        <v>700</v>
      </c>
      <c r="J7">
        <f>SalesData[[#This Row],[Total Sales]]-SalesData[[#This Row],[Target Sales]]</f>
        <v>-100</v>
      </c>
    </row>
    <row r="8" spans="1:10">
      <c r="A8" s="3">
        <v>45332</v>
      </c>
      <c r="B8" t="s">
        <v>28</v>
      </c>
      <c r="C8" t="s">
        <v>21</v>
      </c>
      <c r="D8" t="s">
        <v>39</v>
      </c>
      <c r="E8" t="s">
        <v>23</v>
      </c>
      <c r="F8">
        <v>8</v>
      </c>
      <c r="G8">
        <v>300</v>
      </c>
      <c r="H8">
        <f>SalesData[[#This Row],[Units Sold]]*SalesData[[#This Row],[Unit Price]]</f>
        <v>2400</v>
      </c>
      <c r="I8">
        <v>2500</v>
      </c>
      <c r="J8">
        <f>SalesData[[#This Row],[Total Sales]]-SalesData[[#This Row],[Target Sales]]</f>
        <v>-100</v>
      </c>
    </row>
    <row r="9" spans="1:10">
      <c r="A9" s="3">
        <v>45337</v>
      </c>
      <c r="B9" t="s">
        <v>32</v>
      </c>
      <c r="C9" t="s">
        <v>25</v>
      </c>
      <c r="D9" t="s">
        <v>40</v>
      </c>
      <c r="E9" t="s">
        <v>27</v>
      </c>
      <c r="F9">
        <v>2</v>
      </c>
      <c r="G9">
        <v>150</v>
      </c>
      <c r="H9">
        <f>SalesData[[#This Row],[Units Sold]]*SalesData[[#This Row],[Unit Price]]</f>
        <v>300</v>
      </c>
      <c r="I9">
        <v>400</v>
      </c>
      <c r="J9">
        <f>SalesData[[#This Row],[Total Sales]]-SalesData[[#This Row],[Target Sales]]</f>
        <v>-100</v>
      </c>
    </row>
    <row r="10" spans="1:10">
      <c r="A10" s="3">
        <v>45352</v>
      </c>
      <c r="B10" t="s">
        <v>20</v>
      </c>
      <c r="C10" t="s">
        <v>29</v>
      </c>
      <c r="D10" t="s">
        <v>41</v>
      </c>
      <c r="E10" t="s">
        <v>31</v>
      </c>
      <c r="F10">
        <v>15</v>
      </c>
      <c r="G10">
        <v>25</v>
      </c>
      <c r="H10">
        <f>SalesData[[#This Row],[Units Sold]]*SalesData[[#This Row],[Unit Price]]</f>
        <v>375</v>
      </c>
      <c r="I10">
        <v>400</v>
      </c>
      <c r="J10">
        <f>SalesData[[#This Row],[Total Sales]]-SalesData[[#This Row],[Target Sales]]</f>
        <v>-25</v>
      </c>
    </row>
    <row r="11" spans="1:10">
      <c r="A11" s="3">
        <v>45361</v>
      </c>
      <c r="B11" t="s">
        <v>24</v>
      </c>
      <c r="C11" t="s">
        <v>21</v>
      </c>
      <c r="D11" t="s">
        <v>42</v>
      </c>
      <c r="E11" t="s">
        <v>34</v>
      </c>
      <c r="F11">
        <v>12</v>
      </c>
      <c r="G11">
        <v>100</v>
      </c>
      <c r="H11">
        <f>SalesData[[#This Row],[Units Sold]]*SalesData[[#This Row],[Unit Price]]</f>
        <v>1200</v>
      </c>
      <c r="I11">
        <v>1100</v>
      </c>
      <c r="J11">
        <f>SalesData[[#This Row],[Total Sales]]-SalesData[[#This Row],[Target Sales]]</f>
        <v>100</v>
      </c>
    </row>
    <row r="12" spans="1:10">
      <c r="A12" s="3">
        <v>45371</v>
      </c>
      <c r="B12" t="s">
        <v>28</v>
      </c>
      <c r="C12" t="s">
        <v>25</v>
      </c>
      <c r="D12" t="s">
        <v>43</v>
      </c>
      <c r="E12" t="s">
        <v>36</v>
      </c>
      <c r="F12">
        <v>1</v>
      </c>
      <c r="G12">
        <v>500</v>
      </c>
      <c r="H12">
        <f>SalesData[[#This Row],[Units Sold]]*SalesData[[#This Row],[Unit Price]]</f>
        <v>500</v>
      </c>
      <c r="I12">
        <v>600</v>
      </c>
      <c r="J12">
        <f>SalesData[[#This Row],[Total Sales]]-SalesData[[#This Row],[Target Sales]]</f>
        <v>-100</v>
      </c>
    </row>
    <row r="13" spans="1:10">
      <c r="A13" s="3">
        <v>45376</v>
      </c>
      <c r="B13" t="s">
        <v>32</v>
      </c>
      <c r="C13" t="s">
        <v>29</v>
      </c>
      <c r="D13" t="s">
        <v>44</v>
      </c>
      <c r="E13" t="s">
        <v>38</v>
      </c>
      <c r="F13">
        <v>9</v>
      </c>
      <c r="G13">
        <v>75</v>
      </c>
      <c r="H13">
        <f>SalesData[[#This Row],[Units Sold]]*SalesData[[#This Row],[Unit Price]]</f>
        <v>675</v>
      </c>
      <c r="I13">
        <v>800</v>
      </c>
      <c r="J13">
        <f>SalesData[[#This Row],[Total Sales]]-SalesData[[#This Row],[Target Sales]]</f>
        <v>-125</v>
      </c>
    </row>
    <row r="14" spans="1:10">
      <c r="A14" s="3">
        <v>45383</v>
      </c>
      <c r="B14" t="s">
        <v>20</v>
      </c>
      <c r="C14" t="s">
        <v>21</v>
      </c>
      <c r="D14" t="s">
        <v>45</v>
      </c>
      <c r="E14" t="s">
        <v>23</v>
      </c>
      <c r="F14">
        <v>3</v>
      </c>
      <c r="G14">
        <v>700</v>
      </c>
      <c r="H14">
        <f>SalesData[[#This Row],[Units Sold]]*SalesData[[#This Row],[Unit Price]]</f>
        <v>2100</v>
      </c>
      <c r="I14">
        <v>2000</v>
      </c>
      <c r="J14">
        <f>SalesData[[#This Row],[Total Sales]]-SalesData[[#This Row],[Target Sales]]</f>
        <v>100</v>
      </c>
    </row>
    <row r="15" spans="1:10">
      <c r="A15" s="3">
        <v>45387</v>
      </c>
      <c r="B15" t="s">
        <v>24</v>
      </c>
      <c r="C15" t="s">
        <v>25</v>
      </c>
      <c r="D15" t="s">
        <v>46</v>
      </c>
      <c r="E15" t="s">
        <v>27</v>
      </c>
      <c r="F15">
        <v>2</v>
      </c>
      <c r="G15">
        <v>400</v>
      </c>
      <c r="H15">
        <f>SalesData[[#This Row],[Units Sold]]*SalesData[[#This Row],[Unit Price]]</f>
        <v>800</v>
      </c>
      <c r="I15">
        <v>1200</v>
      </c>
      <c r="J15">
        <f>SalesData[[#This Row],[Total Sales]]-SalesData[[#This Row],[Target Sales]]</f>
        <v>-400</v>
      </c>
    </row>
    <row r="16" spans="1:10">
      <c r="A16" s="3">
        <v>45397</v>
      </c>
      <c r="B16" t="s">
        <v>28</v>
      </c>
      <c r="C16" t="s">
        <v>29</v>
      </c>
      <c r="D16" t="s">
        <v>47</v>
      </c>
      <c r="E16" t="s">
        <v>31</v>
      </c>
      <c r="F16">
        <v>18</v>
      </c>
      <c r="G16">
        <v>40</v>
      </c>
      <c r="H16">
        <f>SalesData[[#This Row],[Units Sold]]*SalesData[[#This Row],[Unit Price]]</f>
        <v>720</v>
      </c>
      <c r="I16">
        <v>800</v>
      </c>
      <c r="J16">
        <f>SalesData[[#This Row],[Total Sales]]-SalesData[[#This Row],[Target Sales]]</f>
        <v>-80</v>
      </c>
    </row>
    <row r="17" spans="1:10">
      <c r="A17" s="3">
        <v>45402</v>
      </c>
      <c r="B17" t="s">
        <v>32</v>
      </c>
      <c r="C17" t="s">
        <v>21</v>
      </c>
      <c r="D17" t="s">
        <v>48</v>
      </c>
      <c r="E17" t="s">
        <v>34</v>
      </c>
      <c r="F17">
        <v>6</v>
      </c>
      <c r="G17">
        <v>250</v>
      </c>
      <c r="H17">
        <f>SalesData[[#This Row],[Units Sold]]*SalesData[[#This Row],[Unit Price]]</f>
        <v>1500</v>
      </c>
      <c r="I17">
        <v>2000</v>
      </c>
      <c r="J17">
        <f>SalesData[[#This Row],[Total Sales]]-SalesData[[#This Row],[Target Sales]]</f>
        <v>-500</v>
      </c>
    </row>
    <row r="18" spans="1:10">
      <c r="A18" s="3">
        <v>45413</v>
      </c>
      <c r="B18" t="s">
        <v>20</v>
      </c>
      <c r="C18" t="s">
        <v>25</v>
      </c>
      <c r="D18" t="s">
        <v>49</v>
      </c>
      <c r="E18" t="s">
        <v>36</v>
      </c>
      <c r="F18">
        <v>1</v>
      </c>
      <c r="G18">
        <v>600</v>
      </c>
      <c r="H18">
        <f>SalesData[[#This Row],[Units Sold]]*SalesData[[#This Row],[Unit Price]]</f>
        <v>600</v>
      </c>
      <c r="I18">
        <v>900</v>
      </c>
      <c r="J18">
        <f>SalesData[[#This Row],[Total Sales]]-SalesData[[#This Row],[Target Sales]]</f>
        <v>-300</v>
      </c>
    </row>
    <row r="19" spans="1:10">
      <c r="A19" s="3">
        <v>45417</v>
      </c>
      <c r="B19" t="s">
        <v>24</v>
      </c>
      <c r="C19" t="s">
        <v>29</v>
      </c>
      <c r="D19" t="s">
        <v>50</v>
      </c>
      <c r="E19" t="s">
        <v>38</v>
      </c>
      <c r="F19">
        <v>25</v>
      </c>
      <c r="G19">
        <v>10</v>
      </c>
      <c r="H19">
        <f>SalesData[[#This Row],[Units Sold]]*SalesData[[#This Row],[Unit Price]]</f>
        <v>250</v>
      </c>
      <c r="I19">
        <v>300</v>
      </c>
      <c r="J19">
        <f>SalesData[[#This Row],[Total Sales]]-SalesData[[#This Row],[Target Sales]]</f>
        <v>-50</v>
      </c>
    </row>
    <row r="20" spans="1:10">
      <c r="A20" s="3">
        <v>45422</v>
      </c>
      <c r="B20" t="s">
        <v>28</v>
      </c>
      <c r="C20" t="s">
        <v>21</v>
      </c>
      <c r="D20" t="s">
        <v>51</v>
      </c>
      <c r="E20" t="s">
        <v>23</v>
      </c>
      <c r="F20">
        <v>12</v>
      </c>
      <c r="G20">
        <v>50</v>
      </c>
      <c r="H20">
        <f>SalesData[[#This Row],[Units Sold]]*SalesData[[#This Row],[Unit Price]]</f>
        <v>600</v>
      </c>
      <c r="I20">
        <v>800</v>
      </c>
      <c r="J20">
        <f>SalesData[[#This Row],[Total Sales]]-SalesData[[#This Row],[Target Sales]]</f>
        <v>-200</v>
      </c>
    </row>
    <row r="21" spans="1:10">
      <c r="A21" s="3">
        <v>45427</v>
      </c>
      <c r="B21" t="s">
        <v>32</v>
      </c>
      <c r="C21" t="s">
        <v>25</v>
      </c>
      <c r="D21" t="s">
        <v>52</v>
      </c>
      <c r="E21" t="s">
        <v>27</v>
      </c>
      <c r="F21">
        <v>3</v>
      </c>
      <c r="G21">
        <v>200</v>
      </c>
      <c r="H21">
        <f>SalesData[[#This Row],[Units Sold]]*SalesData[[#This Row],[Unit Price]]</f>
        <v>600</v>
      </c>
      <c r="I21">
        <v>600</v>
      </c>
      <c r="J21">
        <f>SalesData[[#This Row],[Total Sales]]-SalesData[[#This Row],[Target Sales]]</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C300-1C84-4035-B7E0-F239DFD500B2}">
  <dimension ref="A1:S9"/>
  <sheetViews>
    <sheetView zoomScale="120" zoomScaleNormal="120" workbookViewId="0">
      <selection activeCell="E15" sqref="E15"/>
    </sheetView>
  </sheetViews>
  <sheetFormatPr defaultRowHeight="15"/>
  <cols>
    <col min="1" max="1" width="13.140625" bestFit="1" customWidth="1"/>
    <col min="2" max="2" width="11.28515625" bestFit="1" customWidth="1"/>
    <col min="5" max="5" width="13.140625" bestFit="1" customWidth="1"/>
    <col min="6" max="6" width="17.7109375" bestFit="1" customWidth="1"/>
    <col min="9" max="9" width="13.7109375" bestFit="1" customWidth="1"/>
    <col min="10" max="10" width="17.7109375" bestFit="1" customWidth="1"/>
    <col min="11" max="11" width="16" bestFit="1" customWidth="1"/>
    <col min="13" max="13" width="13.140625" bestFit="1" customWidth="1"/>
    <col min="14" max="14" width="11.28515625" bestFit="1" customWidth="1"/>
    <col min="15" max="15" width="12.42578125" bestFit="1" customWidth="1"/>
    <col min="18" max="18" width="15.5703125" bestFit="1" customWidth="1"/>
    <col min="19" max="19" width="14.140625" bestFit="1" customWidth="1"/>
  </cols>
  <sheetData>
    <row r="1" spans="1:19">
      <c r="A1" s="8" t="s">
        <v>98</v>
      </c>
      <c r="B1" t="s">
        <v>108</v>
      </c>
      <c r="E1" s="8" t="s">
        <v>98</v>
      </c>
      <c r="F1" t="s">
        <v>101</v>
      </c>
      <c r="I1" s="8" t="s">
        <v>98</v>
      </c>
      <c r="J1" t="s">
        <v>101</v>
      </c>
      <c r="K1" t="s">
        <v>107</v>
      </c>
      <c r="M1" s="8" t="s">
        <v>98</v>
      </c>
      <c r="N1" t="s">
        <v>108</v>
      </c>
      <c r="O1" t="s">
        <v>109</v>
      </c>
      <c r="S1" t="s">
        <v>110</v>
      </c>
    </row>
    <row r="2" spans="1:19">
      <c r="A2" s="9" t="s">
        <v>28</v>
      </c>
      <c r="B2" s="10">
        <v>4520</v>
      </c>
      <c r="E2" s="9" t="s">
        <v>29</v>
      </c>
      <c r="F2" s="10">
        <v>2920</v>
      </c>
      <c r="I2" s="9" t="s">
        <v>34</v>
      </c>
      <c r="J2" s="10">
        <v>6900</v>
      </c>
      <c r="K2" s="10">
        <v>-200</v>
      </c>
      <c r="M2" s="9" t="s">
        <v>102</v>
      </c>
      <c r="N2" s="10">
        <v>13100</v>
      </c>
      <c r="O2" s="10">
        <v>13520</v>
      </c>
      <c r="R2" t="s">
        <v>111</v>
      </c>
      <c r="S2" s="12">
        <f>SUM(SalesData!H:H)/SUM(SalesData!I:I)</f>
        <v>0.91700542005420049</v>
      </c>
    </row>
    <row r="3" spans="1:19">
      <c r="A3" s="9" t="s">
        <v>20</v>
      </c>
      <c r="B3" s="10">
        <v>11825</v>
      </c>
      <c r="E3" s="9" t="s">
        <v>21</v>
      </c>
      <c r="F3" s="10">
        <v>20000</v>
      </c>
      <c r="I3" s="9" t="s">
        <v>36</v>
      </c>
      <c r="J3" s="10">
        <v>1850</v>
      </c>
      <c r="K3" s="10">
        <v>-550</v>
      </c>
      <c r="M3" s="9" t="s">
        <v>103</v>
      </c>
      <c r="N3" s="10">
        <v>4050</v>
      </c>
      <c r="O3" s="10">
        <v>4500</v>
      </c>
      <c r="R3" t="s">
        <v>112</v>
      </c>
      <c r="S3" s="13">
        <f>1-S2</f>
        <v>8.2994579945799507E-2</v>
      </c>
    </row>
    <row r="4" spans="1:19">
      <c r="A4" s="9" t="s">
        <v>24</v>
      </c>
      <c r="B4" s="10">
        <v>3450</v>
      </c>
      <c r="E4" s="9" t="s">
        <v>25</v>
      </c>
      <c r="F4" s="10">
        <v>4150</v>
      </c>
      <c r="I4" s="9" t="s">
        <v>23</v>
      </c>
      <c r="J4" s="10">
        <v>13100</v>
      </c>
      <c r="K4" s="10">
        <v>-700</v>
      </c>
      <c r="M4" s="9" t="s">
        <v>104</v>
      </c>
      <c r="N4" s="10">
        <v>2750</v>
      </c>
      <c r="O4" s="10">
        <v>2900</v>
      </c>
    </row>
    <row r="5" spans="1:19">
      <c r="A5" s="9" t="s">
        <v>32</v>
      </c>
      <c r="B5" s="10">
        <v>7275</v>
      </c>
      <c r="E5" s="9" t="s">
        <v>99</v>
      </c>
      <c r="F5" s="10"/>
      <c r="I5" s="9" t="s">
        <v>38</v>
      </c>
      <c r="J5" s="10">
        <v>1525</v>
      </c>
      <c r="K5" s="10">
        <v>-275</v>
      </c>
      <c r="M5" s="9" t="s">
        <v>105</v>
      </c>
      <c r="N5" s="10">
        <v>5120</v>
      </c>
      <c r="O5" s="10">
        <v>6000</v>
      </c>
    </row>
    <row r="6" spans="1:19">
      <c r="A6" s="9" t="s">
        <v>99</v>
      </c>
      <c r="B6" s="10"/>
      <c r="E6" s="9" t="s">
        <v>100</v>
      </c>
      <c r="F6" s="10">
        <v>27070</v>
      </c>
      <c r="I6" s="9" t="s">
        <v>31</v>
      </c>
      <c r="J6" s="10">
        <v>1395</v>
      </c>
      <c r="K6" s="10">
        <v>-125</v>
      </c>
      <c r="M6" s="9" t="s">
        <v>106</v>
      </c>
      <c r="N6" s="10">
        <v>2050</v>
      </c>
      <c r="O6" s="10">
        <v>2600</v>
      </c>
    </row>
    <row r="7" spans="1:19">
      <c r="A7" s="9" t="s">
        <v>100</v>
      </c>
      <c r="B7" s="10">
        <v>27070</v>
      </c>
      <c r="I7" s="9" t="s">
        <v>27</v>
      </c>
      <c r="J7" s="10">
        <v>2300</v>
      </c>
      <c r="K7" s="10">
        <v>-600</v>
      </c>
      <c r="M7" s="9" t="s">
        <v>100</v>
      </c>
      <c r="N7" s="10">
        <v>27070</v>
      </c>
      <c r="O7" s="10">
        <v>29520</v>
      </c>
    </row>
    <row r="8" spans="1:19">
      <c r="I8" s="9" t="s">
        <v>99</v>
      </c>
      <c r="J8" s="10"/>
      <c r="K8" s="10"/>
    </row>
    <row r="9" spans="1:19">
      <c r="I9" s="9" t="s">
        <v>100</v>
      </c>
      <c r="J9" s="10">
        <v>27070</v>
      </c>
      <c r="K9" s="10">
        <v>-2450</v>
      </c>
    </row>
  </sheetData>
  <conditionalFormatting pivot="1" sqref="B2:B5">
    <cfRule type="colorScale" priority="4">
      <colorScale>
        <cfvo type="min"/>
        <cfvo type="percentile" val="50"/>
        <cfvo type="max"/>
        <color rgb="FFF8696B"/>
        <color rgb="FFFFEB84"/>
        <color rgb="FF63BE7B"/>
      </colorScale>
    </cfRule>
  </conditionalFormatting>
  <conditionalFormatting pivot="1" sqref="F2:F4">
    <cfRule type="colorScale" priority="3">
      <colorScale>
        <cfvo type="min"/>
        <cfvo type="percentile" val="50"/>
        <cfvo type="max"/>
        <color rgb="FFF8696B"/>
        <color rgb="FFFFEB84"/>
        <color rgb="FF63BE7B"/>
      </colorScale>
    </cfRule>
  </conditionalFormatting>
  <conditionalFormatting pivot="1" sqref="N2:N6">
    <cfRule type="colorScale" priority="2">
      <colorScale>
        <cfvo type="min"/>
        <cfvo type="percentile" val="50"/>
        <cfvo type="max"/>
        <color rgb="FFF8696B"/>
        <color rgb="FFFFEB84"/>
        <color rgb="FF63BE7B"/>
      </colorScale>
    </cfRule>
  </conditionalFormatting>
  <conditionalFormatting pivot="1" sqref="K2:K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C138-AF3B-4229-979A-47C17FFC03D8}">
  <dimension ref="A1:A64"/>
  <sheetViews>
    <sheetView zoomScale="120" zoomScaleNormal="120" workbookViewId="0"/>
  </sheetViews>
  <sheetFormatPr defaultRowHeight="15"/>
  <cols>
    <col min="1" max="1" width="111.5703125" bestFit="1" customWidth="1"/>
  </cols>
  <sheetData>
    <row r="1" spans="1:1">
      <c r="A1" t="s">
        <v>0</v>
      </c>
    </row>
    <row r="2" spans="1:1">
      <c r="A2" t="s">
        <v>1</v>
      </c>
    </row>
    <row r="3" spans="1:1">
      <c r="A3" s="1"/>
    </row>
    <row r="4" spans="1:1">
      <c r="A4" s="2" t="s">
        <v>2</v>
      </c>
    </row>
    <row r="5" spans="1:1">
      <c r="A5" s="2" t="s">
        <v>3</v>
      </c>
    </row>
    <row r="6" spans="1:1">
      <c r="A6" s="2" t="s">
        <v>4</v>
      </c>
    </row>
    <row r="7" spans="1:1">
      <c r="A7" s="2" t="s">
        <v>5</v>
      </c>
    </row>
    <row r="8" spans="1:1">
      <c r="A8" s="2" t="s">
        <v>6</v>
      </c>
    </row>
    <row r="9" spans="1:1">
      <c r="A9" s="2" t="s">
        <v>7</v>
      </c>
    </row>
    <row r="10" spans="1:1">
      <c r="A10" s="2" t="s">
        <v>8</v>
      </c>
    </row>
    <row r="11" spans="1:1">
      <c r="A11" s="2" t="s">
        <v>9</v>
      </c>
    </row>
    <row r="12" spans="1:1">
      <c r="A12" s="2" t="s">
        <v>10</v>
      </c>
    </row>
    <row r="14" spans="1:1">
      <c r="A14" t="s">
        <v>11</v>
      </c>
    </row>
    <row r="16" spans="1:1" ht="15.75">
      <c r="A16" s="4" t="s">
        <v>55</v>
      </c>
    </row>
    <row r="17" spans="1:1">
      <c r="A17" s="2" t="s">
        <v>56</v>
      </c>
    </row>
    <row r="18" spans="1:1">
      <c r="A18" s="1" t="s">
        <v>57</v>
      </c>
    </row>
    <row r="19" spans="1:1">
      <c r="A19" s="2" t="s">
        <v>58</v>
      </c>
    </row>
    <row r="20" spans="1:1" ht="15.6" customHeight="1">
      <c r="A20" s="1" t="s">
        <v>59</v>
      </c>
    </row>
    <row r="22" spans="1:1" ht="15.75">
      <c r="A22" s="4" t="s">
        <v>60</v>
      </c>
    </row>
    <row r="23" spans="1:1">
      <c r="A23" s="1" t="s">
        <v>61</v>
      </c>
    </row>
    <row r="24" spans="1:1">
      <c r="A24" s="1" t="s">
        <v>62</v>
      </c>
    </row>
    <row r="26" spans="1:1" ht="15.75">
      <c r="A26" s="4" t="s">
        <v>63</v>
      </c>
    </row>
    <row r="27" spans="1:1">
      <c r="A27" s="1" t="s">
        <v>64</v>
      </c>
    </row>
    <row r="28" spans="1:1">
      <c r="A28" s="1" t="s">
        <v>65</v>
      </c>
    </row>
    <row r="29" spans="1:1">
      <c r="A29" s="1" t="s">
        <v>66</v>
      </c>
    </row>
    <row r="30" spans="1:1">
      <c r="A30" s="5" t="s">
        <v>67</v>
      </c>
    </row>
    <row r="31" spans="1:1">
      <c r="A31" s="5" t="s">
        <v>68</v>
      </c>
    </row>
    <row r="32" spans="1:1">
      <c r="A32" s="5" t="s">
        <v>69</v>
      </c>
    </row>
    <row r="33" spans="1:1">
      <c r="A33" s="5" t="s">
        <v>70</v>
      </c>
    </row>
    <row r="35" spans="1:1" ht="15.75">
      <c r="A35" s="4" t="s">
        <v>71</v>
      </c>
    </row>
    <row r="36" spans="1:1">
      <c r="A36" s="1" t="s">
        <v>72</v>
      </c>
    </row>
    <row r="37" spans="1:1">
      <c r="A37" s="1" t="s">
        <v>73</v>
      </c>
    </row>
    <row r="38" spans="1:1">
      <c r="A38" s="5" t="s">
        <v>74</v>
      </c>
    </row>
    <row r="39" spans="1:1">
      <c r="A39" s="6" t="s">
        <v>75</v>
      </c>
    </row>
    <row r="40" spans="1:1">
      <c r="A40" s="6" t="s">
        <v>76</v>
      </c>
    </row>
    <row r="41" spans="1:1">
      <c r="A41" s="5" t="s">
        <v>77</v>
      </c>
    </row>
    <row r="42" spans="1:1">
      <c r="A42" s="6" t="s">
        <v>78</v>
      </c>
    </row>
    <row r="43" spans="1:1">
      <c r="A43" s="5" t="s">
        <v>79</v>
      </c>
    </row>
    <row r="44" spans="1:1">
      <c r="A44" s="6" t="s">
        <v>80</v>
      </c>
    </row>
    <row r="46" spans="1:1" ht="15.75">
      <c r="A46" s="4" t="s">
        <v>81</v>
      </c>
    </row>
    <row r="47" spans="1:1">
      <c r="A47" s="1" t="s">
        <v>82</v>
      </c>
    </row>
    <row r="48" spans="1:1">
      <c r="A48" s="5" t="s">
        <v>83</v>
      </c>
    </row>
    <row r="49" spans="1:1">
      <c r="A49" s="5" t="s">
        <v>84</v>
      </c>
    </row>
    <row r="50" spans="1:1">
      <c r="A50" s="5" t="s">
        <v>85</v>
      </c>
    </row>
    <row r="52" spans="1:1" ht="15.75">
      <c r="A52" s="4" t="s">
        <v>86</v>
      </c>
    </row>
    <row r="53" spans="1:1">
      <c r="A53" s="2" t="s">
        <v>87</v>
      </c>
    </row>
    <row r="54" spans="1:1">
      <c r="A54" s="2" t="s">
        <v>88</v>
      </c>
    </row>
    <row r="55" spans="1:1">
      <c r="A55" s="7" t="s">
        <v>89</v>
      </c>
    </row>
    <row r="56" spans="1:1">
      <c r="A56" s="7" t="s">
        <v>90</v>
      </c>
    </row>
    <row r="57" spans="1:1">
      <c r="A57" s="2" t="s">
        <v>91</v>
      </c>
    </row>
    <row r="58" spans="1:1">
      <c r="A58" s="7" t="s">
        <v>92</v>
      </c>
    </row>
    <row r="59" spans="1:1">
      <c r="A59" s="7" t="s">
        <v>93</v>
      </c>
    </row>
    <row r="61" spans="1:1" ht="15.75">
      <c r="A61" s="4" t="s">
        <v>94</v>
      </c>
    </row>
    <row r="62" spans="1:1">
      <c r="A62" s="1" t="s">
        <v>95</v>
      </c>
    </row>
    <row r="63" spans="1:1">
      <c r="A63" s="1" t="s">
        <v>96</v>
      </c>
    </row>
    <row r="64" spans="1:1">
      <c r="A64" s="1" t="s">
        <v>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SalesData</vt:lpstr>
      <vt:lpstr>Pivot Analysis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Sajid, Usman</dc:creator>
  <cp:lastModifiedBy>2670</cp:lastModifiedBy>
  <cp:lastPrinted>2025-09-07T07:39:57Z</cp:lastPrinted>
  <dcterms:created xsi:type="dcterms:W3CDTF">2015-06-05T18:17:20Z</dcterms:created>
  <dcterms:modified xsi:type="dcterms:W3CDTF">2025-09-07T07:40:19Z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{BF0CDDB4-332E-4C00-8DE7-03146F9CC5A5}</vt:lpwstr>
  </property>
  <property fmtid="{D5CDD505-2E9C-101B-9397-08002B2CF9AE}" pid="3" name="MSIP_Label_6267e522-0091-4d88-9989-f382df9eb3cc_Enabled">
    <vt:lpwstr>true</vt:lpwstr>
  </property>
  <property fmtid="{D5CDD505-2E9C-101B-9397-08002B2CF9AE}" pid="4" name="MSIP_Label_6267e522-0091-4d88-9989-f382df9eb3cc_SetDate">
    <vt:lpwstr>2025-09-02T14:21:30Z</vt:lpwstr>
  </property>
  <property fmtid="{D5CDD505-2E9C-101B-9397-08002B2CF9AE}" pid="5" name="MSIP_Label_6267e522-0091-4d88-9989-f382df9eb3cc_Method">
    <vt:lpwstr>Privileged</vt:lpwstr>
  </property>
  <property fmtid="{D5CDD505-2E9C-101B-9397-08002B2CF9AE}" pid="6" name="MSIP_Label_6267e522-0091-4d88-9989-f382df9eb3cc_Name">
    <vt:lpwstr>General</vt:lpwstr>
  </property>
  <property fmtid="{D5CDD505-2E9C-101B-9397-08002B2CF9AE}" pid="7" name="MSIP_Label_6267e522-0091-4d88-9989-f382df9eb3cc_SiteId">
    <vt:lpwstr>8f3e36ea-8039-4b40-81a7-7dc0599e8645</vt:lpwstr>
  </property>
  <property fmtid="{D5CDD505-2E9C-101B-9397-08002B2CF9AE}" pid="8" name="MSIP_Label_6267e522-0091-4d88-9989-f382df9eb3cc_ActionId">
    <vt:lpwstr>93e87ae0-7e19-4d8b-998c-2f1f385f45d1</vt:lpwstr>
  </property>
  <property fmtid="{D5CDD505-2E9C-101B-9397-08002B2CF9AE}" pid="9" name="MSIP_Label_6267e522-0091-4d88-9989-f382df9eb3cc_ContentBits">
    <vt:lpwstr>0</vt:lpwstr>
  </property>
  <property fmtid="{D5CDD505-2E9C-101B-9397-08002B2CF9AE}" pid="10" name="MSIP_Label_6267e522-0091-4d88-9989-f382df9eb3cc_Tag">
    <vt:lpwstr>10, 0, 1, 1</vt:lpwstr>
  </property>
</Properties>
</file>